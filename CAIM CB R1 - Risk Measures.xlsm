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vbaProject.bin" ContentType="application/vnd.ms-office.vbaProject"/>
  <Override PartName="/xl/worksheets/sheet1.xml" ContentType="application/vnd.openxmlformats-officedocument.spreadsheetml.worksheet+xml"/>
  <Override PartName="/docProps/core.xml" ContentType="application/vnd.openxmlformats-package.core-properties+xml"/>
  <Override PartName="/docProps/app.xml" ContentType="application/vnd.openxmlformats-officedocument.extended-properties+xml"/>
  <Override PartName="/xl/externalLinks/externalLink1.xml" ContentType="application/vnd.openxmlformats-officedocument.spreadsheetml.externalLink+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F:\Risk Management\Training Material\2024.10 Seminar\2024.10.14 Monday - Risk and Performance\"/>
    </mc:Choice>
  </mc:AlternateContent>
  <xr:revisionPtr revIDLastSave="0" documentId="13_ncr:1_{E66E7523-6E34-4E9D-8815-4835143A3B8E}" xr6:coauthVersionLast="47" xr6:coauthVersionMax="47" xr10:uidLastSave="{00000000-0000-0000-0000-000000000000}"/>
  <bookViews>
    <workbookView xWindow="9156" yWindow="252" windowWidth="13920" windowHeight="12096" xr2:uid="{5E10C3C8-7DBA-473C-AD13-62FA1E645620}"/>
  </bookViews>
  <sheets>
    <sheet name="Notes and disclaimer" sheetId="29" r:id="rId1"/>
    <sheet name="1WS " sheetId="31" r:id="rId2"/>
    <sheet name="2WS" sheetId="32" r:id="rId3"/>
    <sheet name="3WS" sheetId="33" r:id="rId4"/>
    <sheet name="4WS" sheetId="34" r:id="rId5"/>
  </sheets>
  <functionGroups builtInGroupCount="19"/>
  <externalReferences>
    <externalReference r:id="rId6"/>
  </externalReferences>
  <definedNames>
    <definedName name="adjchol">#REF!</definedName>
    <definedName name="adjcorrs">#REF!</definedName>
    <definedName name="assetnames">#REF!</definedName>
    <definedName name="Chi_sq_threshold">#REF!</definedName>
    <definedName name="chol">#REF!</definedName>
    <definedName name="correl" localSheetId="2">'2WS'!$E$5</definedName>
    <definedName name="correl">#REF!</definedName>
    <definedName name="correl0.5" localSheetId="2">'2WS'!$E$5</definedName>
    <definedName name="correl0.5">#REF!</definedName>
    <definedName name="correlAB">#REF!</definedName>
    <definedName name="corrs">#REF!</definedName>
    <definedName name="CVaRA" localSheetId="1">'1WS '!$C$7</definedName>
    <definedName name="CVaRA" localSheetId="2">'2WS'!$C$9</definedName>
    <definedName name="CVaRB" localSheetId="1">'1WS '!$D$7</definedName>
    <definedName name="CVaRB" localSheetId="2">'2WS'!$D$9</definedName>
    <definedName name="lambda1">#REF!</definedName>
    <definedName name="lambda2">#REF!</definedName>
    <definedName name="muA" localSheetId="1">'1WS '!$C$4</definedName>
    <definedName name="muA" localSheetId="2">'2WS'!$C$6</definedName>
    <definedName name="muAB">#REF!</definedName>
    <definedName name="muB" localSheetId="1">'1WS '!$D$4</definedName>
    <definedName name="muB" localSheetId="2">'2WS'!$D$6</definedName>
    <definedName name="muB">#REF!</definedName>
    <definedName name="pf_wts">#REF!</definedName>
    <definedName name="randcorrel">#REF!</definedName>
    <definedName name="rands">#REF!</definedName>
    <definedName name="randscorrel">#REF!</definedName>
    <definedName name="rot_mx">#REF!</definedName>
    <definedName name="sigmaA" localSheetId="1">'1WS '!$C$5</definedName>
    <definedName name="sigmaA" localSheetId="2">'2WS'!$C$7</definedName>
    <definedName name="sigmaB" localSheetId="1">'1WS '!$D$5</definedName>
    <definedName name="sigmaB" localSheetId="2">'2WS'!$D$7</definedName>
    <definedName name="simreturns">#REF!</definedName>
    <definedName name="SlideTwo" localSheetId="2">'2WS'!$B$3</definedName>
    <definedName name="SlideTwo">#REF!</definedName>
    <definedName name="theta">#REF!</definedName>
    <definedName name="VaR_Threshold" localSheetId="1">'1WS '!$C$8</definedName>
    <definedName name="VaR_Threshold" localSheetId="2">'2WS'!$C$11</definedName>
    <definedName name="VaR_Threshold">[1]Slide5!$C$1</definedName>
    <definedName name="VaRA" localSheetId="1">'1WS '!$C$6</definedName>
    <definedName name="VaRA" localSheetId="2">'2WS'!$C$8</definedName>
    <definedName name="VaRA">[1]Slide5!$C$5</definedName>
    <definedName name="VaRB" localSheetId="1">'1WS '!$D$6</definedName>
    <definedName name="VaRB" localSheetId="2">'2WS'!$D$8</definedName>
    <definedName name="wtA" localSheetId="2">'2WS'!$C$12</definedName>
    <definedName name="wtA">'[1] Covar SAFE'!$C$11</definedName>
    <definedName name="wtB" localSheetId="2">'2WS'!$D$12</definedName>
    <definedName name="wtB">'[1] Covar SAFE'!$D$11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7" i="33" l="1"/>
  <c r="F8" i="33" s="1"/>
  <c r="G8" i="33" s="1"/>
  <c r="F9" i="33" s="1"/>
  <c r="G9" i="33" s="1"/>
  <c r="F10" i="33" s="1"/>
  <c r="G10" i="33" s="1"/>
  <c r="F11" i="33" s="1"/>
  <c r="G11" i="33" s="1"/>
  <c r="F12" i="33" s="1"/>
  <c r="G12" i="33" s="1"/>
  <c r="F13" i="33" s="1"/>
  <c r="G13" i="33" s="1"/>
  <c r="F14" i="33" s="1"/>
  <c r="G14" i="33" s="1"/>
  <c r="F15" i="33" s="1"/>
  <c r="G15" i="33" s="1"/>
  <c r="F16" i="33" s="1"/>
  <c r="G16" i="33" s="1"/>
  <c r="F17" i="33" s="1"/>
  <c r="G17" i="33" s="1"/>
  <c r="F18" i="33" s="1"/>
  <c r="G18" i="33" s="1"/>
  <c r="F19" i="33" s="1"/>
  <c r="G19" i="33" s="1"/>
  <c r="F7" i="33"/>
  <c r="D12" i="32"/>
  <c r="K9" i="34" l="1"/>
  <c r="D7" i="33"/>
  <c r="C7" i="33"/>
  <c r="B7" i="33"/>
  <c r="D6" i="33"/>
  <c r="C6" i="33"/>
  <c r="B6" i="33"/>
  <c r="D5" i="33"/>
  <c r="C5" i="33"/>
  <c r="B5" i="33"/>
  <c r="D4" i="33"/>
  <c r="C4" i="33"/>
  <c r="B4" i="33"/>
  <c r="B215" i="32"/>
  <c r="C215" i="32" s="1"/>
  <c r="B15" i="32"/>
  <c r="D9" i="32"/>
  <c r="C9" i="32"/>
  <c r="D8" i="32"/>
  <c r="C8" i="32"/>
  <c r="I27" i="31"/>
  <c r="F27" i="31"/>
  <c r="I26" i="31"/>
  <c r="F26" i="31"/>
  <c r="I25" i="31"/>
  <c r="F25" i="31"/>
  <c r="I24" i="31"/>
  <c r="F24" i="31"/>
  <c r="I23" i="31"/>
  <c r="F23" i="31"/>
  <c r="I22" i="31"/>
  <c r="F22" i="31"/>
  <c r="I21" i="31"/>
  <c r="F21" i="31"/>
  <c r="I20" i="31"/>
  <c r="F20" i="31"/>
  <c r="I19" i="31"/>
  <c r="F19" i="31"/>
  <c r="I18" i="31"/>
  <c r="F18" i="31"/>
  <c r="A10" i="31"/>
  <c r="I11" i="31"/>
  <c r="F11" i="31"/>
  <c r="D7" i="31"/>
  <c r="C7" i="31"/>
  <c r="F13" i="31" s="1"/>
  <c r="D6" i="31"/>
  <c r="I17" i="31" s="1"/>
  <c r="C6" i="31"/>
  <c r="F15" i="31" s="1"/>
  <c r="A14" i="32" l="1"/>
  <c r="B16" i="32" s="1"/>
  <c r="D215" i="32"/>
  <c r="K6" i="33"/>
  <c r="D15" i="32"/>
  <c r="C15" i="32"/>
  <c r="F16" i="31"/>
  <c r="F17" i="31"/>
  <c r="F14" i="31"/>
  <c r="F12" i="31"/>
  <c r="I15" i="31"/>
  <c r="I16" i="31"/>
  <c r="I13" i="31"/>
  <c r="I14" i="31"/>
  <c r="I12" i="31"/>
  <c r="I19" i="34" l="1"/>
  <c r="D16" i="32"/>
  <c r="B17" i="32"/>
  <c r="C16" i="32"/>
  <c r="L19" i="34" l="1"/>
  <c r="K19" i="34"/>
  <c r="J19" i="34"/>
  <c r="I18" i="34"/>
  <c r="M19" i="34"/>
  <c r="K7" i="33"/>
  <c r="D17" i="32"/>
  <c r="C17" i="32"/>
  <c r="B18" i="32"/>
  <c r="M18" i="34" l="1"/>
  <c r="L18" i="34"/>
  <c r="K18" i="34"/>
  <c r="J18" i="34"/>
  <c r="K8" i="33"/>
  <c r="D18" i="32"/>
  <c r="B19" i="32"/>
  <c r="C18" i="32"/>
  <c r="K9" i="33" l="1"/>
  <c r="K10" i="33"/>
  <c r="B20" i="32"/>
  <c r="D19" i="32"/>
  <c r="C19" i="32"/>
  <c r="K11" i="33" l="1"/>
  <c r="D20" i="32"/>
  <c r="C20" i="32"/>
  <c r="B21" i="32"/>
  <c r="K12" i="33" l="1"/>
  <c r="B22" i="32"/>
  <c r="D21" i="32"/>
  <c r="C21" i="32"/>
  <c r="K13" i="33" l="1"/>
  <c r="D22" i="32"/>
  <c r="B23" i="32"/>
  <c r="C22" i="32"/>
  <c r="K14" i="33" l="1"/>
  <c r="D23" i="32"/>
  <c r="B24" i="32"/>
  <c r="C23" i="32"/>
  <c r="D24" i="32" l="1"/>
  <c r="B25" i="32"/>
  <c r="C24" i="32"/>
  <c r="K15" i="33" l="1"/>
  <c r="D25" i="32"/>
  <c r="C25" i="32"/>
  <c r="B26" i="32"/>
  <c r="K16" i="33" l="1"/>
  <c r="D26" i="32"/>
  <c r="B27" i="32"/>
  <c r="C26" i="32"/>
  <c r="K18" i="33" l="1"/>
  <c r="K17" i="33"/>
  <c r="B28" i="32"/>
  <c r="D27" i="32"/>
  <c r="C27" i="32"/>
  <c r="K19" i="33" l="1"/>
  <c r="J4" i="33" s="1"/>
  <c r="D28" i="32"/>
  <c r="C28" i="32"/>
  <c r="B29" i="32"/>
  <c r="J19" i="33" l="1"/>
  <c r="J6" i="33"/>
  <c r="J13" i="33"/>
  <c r="J14" i="33"/>
  <c r="J12" i="33"/>
  <c r="J9" i="33"/>
  <c r="J7" i="33"/>
  <c r="J10" i="33"/>
  <c r="J11" i="33"/>
  <c r="J8" i="33"/>
  <c r="J15" i="33"/>
  <c r="J16" i="33"/>
  <c r="J18" i="33"/>
  <c r="J17" i="33"/>
  <c r="B30" i="32"/>
  <c r="D29" i="32"/>
  <c r="C29" i="32"/>
  <c r="D30" i="32" l="1"/>
  <c r="B31" i="32"/>
  <c r="C30" i="32"/>
  <c r="D31" i="32" l="1"/>
  <c r="B32" i="32"/>
  <c r="C31" i="32"/>
  <c r="D32" i="32" l="1"/>
  <c r="B33" i="32"/>
  <c r="C32" i="32"/>
  <c r="D33" i="32" l="1"/>
  <c r="C33" i="32"/>
  <c r="B34" i="32"/>
  <c r="D34" i="32" l="1"/>
  <c r="C34" i="32"/>
  <c r="B35" i="32"/>
  <c r="B36" i="32" l="1"/>
  <c r="D35" i="32"/>
  <c r="C35" i="32"/>
  <c r="D36" i="32" l="1"/>
  <c r="C36" i="32"/>
  <c r="B37" i="32"/>
  <c r="B38" i="32" l="1"/>
  <c r="D37" i="32"/>
  <c r="C37" i="32"/>
  <c r="D38" i="32" l="1"/>
  <c r="B39" i="32"/>
  <c r="C38" i="32"/>
  <c r="D39" i="32" l="1"/>
  <c r="B40" i="32"/>
  <c r="C39" i="32"/>
  <c r="D40" i="32" l="1"/>
  <c r="B41" i="32"/>
  <c r="C40" i="32"/>
  <c r="D41" i="32" l="1"/>
  <c r="C41" i="32"/>
  <c r="B42" i="32"/>
  <c r="D42" i="32" l="1"/>
  <c r="B43" i="32"/>
  <c r="C42" i="32"/>
  <c r="B44" i="32" l="1"/>
  <c r="D43" i="32"/>
  <c r="C43" i="32"/>
  <c r="D44" i="32" l="1"/>
  <c r="C44" i="32"/>
  <c r="B45" i="32"/>
  <c r="B46" i="32" l="1"/>
  <c r="D45" i="32"/>
  <c r="C45" i="32"/>
  <c r="D46" i="32" l="1"/>
  <c r="B47" i="32"/>
  <c r="C46" i="32"/>
  <c r="D47" i="32" l="1"/>
  <c r="C47" i="32"/>
  <c r="B48" i="32"/>
  <c r="D48" i="32" l="1"/>
  <c r="C48" i="32"/>
  <c r="B49" i="32"/>
  <c r="D49" i="32" l="1"/>
  <c r="B50" i="32"/>
  <c r="C49" i="32"/>
  <c r="D50" i="32" l="1"/>
  <c r="B51" i="32"/>
  <c r="C50" i="32"/>
  <c r="B52" i="32" l="1"/>
  <c r="C51" i="32"/>
  <c r="D51" i="32"/>
  <c r="D52" i="32" l="1"/>
  <c r="B53" i="32"/>
  <c r="C52" i="32"/>
  <c r="B54" i="32" l="1"/>
  <c r="D53" i="32"/>
  <c r="C53" i="32"/>
  <c r="D54" i="32" l="1"/>
  <c r="B55" i="32"/>
  <c r="C54" i="32"/>
  <c r="B56" i="32" l="1"/>
  <c r="D55" i="32"/>
  <c r="C55" i="32"/>
  <c r="D56" i="32" l="1"/>
  <c r="C56" i="32"/>
  <c r="B57" i="32"/>
  <c r="D57" i="32" l="1"/>
  <c r="B58" i="32"/>
  <c r="C57" i="32"/>
  <c r="D58" i="32" l="1"/>
  <c r="B59" i="32"/>
  <c r="C58" i="32"/>
  <c r="B60" i="32" l="1"/>
  <c r="C59" i="32"/>
  <c r="D59" i="32"/>
  <c r="D60" i="32" l="1"/>
  <c r="B61" i="32"/>
  <c r="C60" i="32"/>
  <c r="D61" i="32" l="1"/>
  <c r="C61" i="32"/>
  <c r="B62" i="32"/>
  <c r="D62" i="32" l="1"/>
  <c r="B63" i="32"/>
  <c r="C62" i="32"/>
  <c r="B64" i="32" l="1"/>
  <c r="D63" i="32"/>
  <c r="C63" i="32"/>
  <c r="D64" i="32" l="1"/>
  <c r="C64" i="32"/>
  <c r="B65" i="32"/>
  <c r="D65" i="32" l="1"/>
  <c r="C65" i="32"/>
  <c r="B66" i="32"/>
  <c r="D66" i="32" l="1"/>
  <c r="B67" i="32"/>
  <c r="C66" i="32"/>
  <c r="B68" i="32" l="1"/>
  <c r="C67" i="32"/>
  <c r="D67" i="32"/>
  <c r="D68" i="32" l="1"/>
  <c r="B69" i="32"/>
  <c r="C68" i="32"/>
  <c r="D69" i="32" l="1"/>
  <c r="B70" i="32"/>
  <c r="C69" i="32"/>
  <c r="D70" i="32" l="1"/>
  <c r="B71" i="32"/>
  <c r="C70" i="32"/>
  <c r="B72" i="32" l="1"/>
  <c r="D71" i="32"/>
  <c r="C71" i="32"/>
  <c r="D72" i="32" l="1"/>
  <c r="C72" i="32"/>
  <c r="B73" i="32"/>
  <c r="D73" i="32" l="1"/>
  <c r="C73" i="32"/>
  <c r="B74" i="32"/>
  <c r="D74" i="32" l="1"/>
  <c r="B75" i="32"/>
  <c r="C74" i="32"/>
  <c r="B76" i="32" l="1"/>
  <c r="C75" i="32"/>
  <c r="D75" i="32"/>
  <c r="D76" i="32" l="1"/>
  <c r="B77" i="32"/>
  <c r="C76" i="32"/>
  <c r="B78" i="32" l="1"/>
  <c r="D77" i="32"/>
  <c r="C77" i="32"/>
  <c r="D78" i="32" l="1"/>
  <c r="B79" i="32"/>
  <c r="C78" i="32"/>
  <c r="D79" i="32" l="1"/>
  <c r="C79" i="32"/>
  <c r="B80" i="32"/>
  <c r="D80" i="32" l="1"/>
  <c r="C80" i="32"/>
  <c r="B81" i="32"/>
  <c r="D81" i="32" l="1"/>
  <c r="B82" i="32"/>
  <c r="C81" i="32"/>
  <c r="D82" i="32" l="1"/>
  <c r="B83" i="32"/>
  <c r="C82" i="32"/>
  <c r="B84" i="32" l="1"/>
  <c r="C83" i="32"/>
  <c r="D83" i="32"/>
  <c r="D84" i="32" l="1"/>
  <c r="B85" i="32"/>
  <c r="C84" i="32"/>
  <c r="B86" i="32" l="1"/>
  <c r="D85" i="32"/>
  <c r="C85" i="32"/>
  <c r="D86" i="32" l="1"/>
  <c r="B87" i="32"/>
  <c r="C86" i="32"/>
  <c r="B88" i="32" l="1"/>
  <c r="D87" i="32"/>
  <c r="C87" i="32"/>
  <c r="D88" i="32" l="1"/>
  <c r="C88" i="32"/>
  <c r="B89" i="32"/>
  <c r="D89" i="32" l="1"/>
  <c r="B90" i="32"/>
  <c r="C89" i="32"/>
  <c r="D90" i="32" l="1"/>
  <c r="B91" i="32"/>
  <c r="C90" i="32"/>
  <c r="B92" i="32" l="1"/>
  <c r="C91" i="32"/>
  <c r="D91" i="32"/>
  <c r="D92" i="32" l="1"/>
  <c r="B93" i="32"/>
  <c r="C92" i="32"/>
  <c r="D93" i="32" l="1"/>
  <c r="C93" i="32"/>
  <c r="B94" i="32"/>
  <c r="D94" i="32" l="1"/>
  <c r="B95" i="32"/>
  <c r="C94" i="32"/>
  <c r="B96" i="32" l="1"/>
  <c r="D95" i="32"/>
  <c r="C95" i="32"/>
  <c r="D96" i="32" l="1"/>
  <c r="C96" i="32"/>
  <c r="B97" i="32"/>
  <c r="D97" i="32" l="1"/>
  <c r="C97" i="32"/>
  <c r="B98" i="32"/>
  <c r="D98" i="32" l="1"/>
  <c r="B99" i="32"/>
  <c r="C98" i="32"/>
  <c r="B100" i="32" l="1"/>
  <c r="C99" i="32"/>
  <c r="D99" i="32"/>
  <c r="D100" i="32" l="1"/>
  <c r="B101" i="32"/>
  <c r="C100" i="32"/>
  <c r="B102" i="32" l="1"/>
  <c r="C101" i="32"/>
  <c r="D101" i="32"/>
  <c r="D102" i="32" l="1"/>
  <c r="B103" i="32"/>
  <c r="C102" i="32"/>
  <c r="B104" i="32" l="1"/>
  <c r="D103" i="32"/>
  <c r="C103" i="32"/>
  <c r="D104" i="32" l="1"/>
  <c r="C104" i="32"/>
  <c r="B105" i="32"/>
  <c r="D105" i="32" l="1"/>
  <c r="B106" i="32"/>
  <c r="C105" i="32"/>
  <c r="D106" i="32" l="1"/>
  <c r="B107" i="32"/>
  <c r="C106" i="32"/>
  <c r="B108" i="32" l="1"/>
  <c r="C107" i="32"/>
  <c r="D107" i="32"/>
  <c r="D108" i="32" l="1"/>
  <c r="B109" i="32"/>
  <c r="C108" i="32"/>
  <c r="B110" i="32" l="1"/>
  <c r="D109" i="32"/>
  <c r="C109" i="32"/>
  <c r="D110" i="32" l="1"/>
  <c r="B111" i="32"/>
  <c r="C110" i="32"/>
  <c r="D111" i="32" l="1"/>
  <c r="C111" i="32"/>
  <c r="B112" i="32"/>
  <c r="D112" i="32" l="1"/>
  <c r="C112" i="32"/>
  <c r="B113" i="32"/>
  <c r="D113" i="32" l="1"/>
  <c r="B114" i="32"/>
  <c r="C113" i="32"/>
  <c r="D114" i="32" l="1"/>
  <c r="B115" i="32"/>
  <c r="C114" i="32"/>
  <c r="B116" i="32" l="1"/>
  <c r="C115" i="32"/>
  <c r="D115" i="32"/>
  <c r="D116" i="32" l="1"/>
  <c r="B117" i="32"/>
  <c r="C116" i="32"/>
  <c r="B118" i="32" l="1"/>
  <c r="D117" i="32"/>
  <c r="C117" i="32"/>
  <c r="D118" i="32" l="1"/>
  <c r="B119" i="32"/>
  <c r="C118" i="32"/>
  <c r="D119" i="32" l="1"/>
  <c r="B120" i="32"/>
  <c r="C119" i="32"/>
  <c r="D120" i="32" l="1"/>
  <c r="C120" i="32"/>
  <c r="B121" i="32"/>
  <c r="D121" i="32" l="1"/>
  <c r="B122" i="32"/>
  <c r="C121" i="32"/>
  <c r="D122" i="32" l="1"/>
  <c r="B123" i="32"/>
  <c r="C122" i="32"/>
  <c r="B124" i="32" l="1"/>
  <c r="C123" i="32"/>
  <c r="D123" i="32"/>
  <c r="D124" i="32" l="1"/>
  <c r="B125" i="32"/>
  <c r="C124" i="32"/>
  <c r="D125" i="32" l="1"/>
  <c r="C125" i="32"/>
  <c r="B126" i="32"/>
  <c r="D126" i="32" l="1"/>
  <c r="B127" i="32"/>
  <c r="C126" i="32"/>
  <c r="B128" i="32" l="1"/>
  <c r="D127" i="32"/>
  <c r="C127" i="32"/>
  <c r="D128" i="32" l="1"/>
  <c r="C128" i="32"/>
  <c r="B129" i="32"/>
  <c r="D129" i="32" l="1"/>
  <c r="C129" i="32"/>
  <c r="B130" i="32"/>
  <c r="D130" i="32" l="1"/>
  <c r="B131" i="32"/>
  <c r="C130" i="32"/>
  <c r="B132" i="32" l="1"/>
  <c r="C131" i="32"/>
  <c r="D131" i="32"/>
  <c r="D132" i="32" l="1"/>
  <c r="B133" i="32"/>
  <c r="C132" i="32"/>
  <c r="B134" i="32" l="1"/>
  <c r="D133" i="32"/>
  <c r="C133" i="32"/>
  <c r="D134" i="32" l="1"/>
  <c r="B135" i="32"/>
  <c r="C134" i="32"/>
  <c r="B136" i="32" l="1"/>
  <c r="D135" i="32"/>
  <c r="C135" i="32"/>
  <c r="D136" i="32" l="1"/>
  <c r="C136" i="32"/>
  <c r="B137" i="32"/>
  <c r="D137" i="32" l="1"/>
  <c r="C137" i="32"/>
  <c r="B138" i="32"/>
  <c r="D138" i="32" l="1"/>
  <c r="B139" i="32"/>
  <c r="C138" i="32"/>
  <c r="B140" i="32" l="1"/>
  <c r="C139" i="32"/>
  <c r="D139" i="32"/>
  <c r="D140" i="32" l="1"/>
  <c r="B141" i="32"/>
  <c r="C140" i="32"/>
  <c r="B142" i="32" l="1"/>
  <c r="D141" i="32"/>
  <c r="C141" i="32"/>
  <c r="D142" i="32" l="1"/>
  <c r="B143" i="32"/>
  <c r="C142" i="32"/>
  <c r="D143" i="32" l="1"/>
  <c r="C143" i="32"/>
  <c r="B144" i="32"/>
  <c r="D144" i="32" l="1"/>
  <c r="C144" i="32"/>
  <c r="B145" i="32"/>
  <c r="D145" i="32" l="1"/>
  <c r="B146" i="32"/>
  <c r="C145" i="32"/>
  <c r="D146" i="32" l="1"/>
  <c r="B147" i="32"/>
  <c r="C146" i="32"/>
  <c r="B148" i="32" l="1"/>
  <c r="C147" i="32"/>
  <c r="D147" i="32"/>
  <c r="D148" i="32" l="1"/>
  <c r="B149" i="32"/>
  <c r="C148" i="32"/>
  <c r="B150" i="32" l="1"/>
  <c r="D149" i="32"/>
  <c r="C149" i="32"/>
  <c r="D150" i="32" l="1"/>
  <c r="B151" i="32"/>
  <c r="C150" i="32"/>
  <c r="B152" i="32" l="1"/>
  <c r="D151" i="32"/>
  <c r="C151" i="32"/>
  <c r="D152" i="32" l="1"/>
  <c r="C152" i="32"/>
  <c r="B153" i="32"/>
  <c r="D153" i="32" l="1"/>
  <c r="B154" i="32"/>
  <c r="C153" i="32"/>
  <c r="D154" i="32" l="1"/>
  <c r="B155" i="32"/>
  <c r="C154" i="32"/>
  <c r="B156" i="32" l="1"/>
  <c r="C155" i="32"/>
  <c r="D155" i="32"/>
  <c r="D156" i="32" l="1"/>
  <c r="B157" i="32"/>
  <c r="C156" i="32"/>
  <c r="D157" i="32" l="1"/>
  <c r="C157" i="32"/>
  <c r="B158" i="32"/>
  <c r="D158" i="32" l="1"/>
  <c r="B159" i="32"/>
  <c r="C158" i="32"/>
  <c r="B160" i="32" l="1"/>
  <c r="D159" i="32"/>
  <c r="C159" i="32"/>
  <c r="D160" i="32" l="1"/>
  <c r="C160" i="32"/>
  <c r="B161" i="32"/>
  <c r="D161" i="32" l="1"/>
  <c r="C161" i="32"/>
  <c r="B162" i="32"/>
  <c r="D162" i="32" l="1"/>
  <c r="B163" i="32"/>
  <c r="C162" i="32"/>
  <c r="B164" i="32" l="1"/>
  <c r="C163" i="32"/>
  <c r="D163" i="32"/>
  <c r="D164" i="32" l="1"/>
  <c r="B165" i="32"/>
  <c r="C164" i="32"/>
  <c r="D165" i="32" l="1"/>
  <c r="B166" i="32"/>
  <c r="C165" i="32"/>
  <c r="D166" i="32" l="1"/>
  <c r="B167" i="32"/>
  <c r="C166" i="32"/>
  <c r="B168" i="32" l="1"/>
  <c r="D167" i="32"/>
  <c r="C167" i="32"/>
  <c r="D168" i="32" l="1"/>
  <c r="C168" i="32"/>
  <c r="B169" i="32"/>
  <c r="D169" i="32" l="1"/>
  <c r="B170" i="32"/>
  <c r="C169" i="32"/>
  <c r="D170" i="32" l="1"/>
  <c r="B171" i="32"/>
  <c r="C170" i="32"/>
  <c r="B172" i="32" l="1"/>
  <c r="C171" i="32"/>
  <c r="D171" i="32"/>
  <c r="D172" i="32" l="1"/>
  <c r="B173" i="32"/>
  <c r="C172" i="32"/>
  <c r="B174" i="32" l="1"/>
  <c r="D173" i="32"/>
  <c r="C173" i="32"/>
  <c r="D174" i="32" l="1"/>
  <c r="B175" i="32"/>
  <c r="C174" i="32"/>
  <c r="D175" i="32" l="1"/>
  <c r="C175" i="32"/>
  <c r="B176" i="32"/>
  <c r="D176" i="32" l="1"/>
  <c r="C176" i="32"/>
  <c r="B177" i="32"/>
  <c r="D177" i="32" l="1"/>
  <c r="B178" i="32"/>
  <c r="C177" i="32"/>
  <c r="D178" i="32" l="1"/>
  <c r="B179" i="32"/>
  <c r="C178" i="32"/>
  <c r="B180" i="32" l="1"/>
  <c r="C179" i="32"/>
  <c r="D179" i="32"/>
  <c r="D180" i="32" l="1"/>
  <c r="B181" i="32"/>
  <c r="C180" i="32"/>
  <c r="B182" i="32" l="1"/>
  <c r="D181" i="32"/>
  <c r="C181" i="32"/>
  <c r="D182" i="32" l="1"/>
  <c r="B183" i="32"/>
  <c r="C182" i="32"/>
  <c r="D183" i="32" l="1"/>
  <c r="B184" i="32"/>
  <c r="C183" i="32"/>
  <c r="D184" i="32" l="1"/>
  <c r="C184" i="32"/>
  <c r="B185" i="32"/>
  <c r="D185" i="32" l="1"/>
  <c r="B186" i="32"/>
  <c r="C185" i="32"/>
  <c r="D186" i="32" l="1"/>
  <c r="B187" i="32"/>
  <c r="C186" i="32"/>
  <c r="B188" i="32" l="1"/>
  <c r="C187" i="32"/>
  <c r="D187" i="32"/>
  <c r="D188" i="32" l="1"/>
  <c r="B189" i="32"/>
  <c r="C188" i="32"/>
  <c r="D189" i="32" l="1"/>
  <c r="C189" i="32"/>
  <c r="B190" i="32"/>
  <c r="D190" i="32" l="1"/>
  <c r="B191" i="32"/>
  <c r="C190" i="32"/>
  <c r="B192" i="32" l="1"/>
  <c r="D191" i="32"/>
  <c r="C191" i="32"/>
  <c r="D192" i="32" l="1"/>
  <c r="C192" i="32"/>
  <c r="B193" i="32"/>
  <c r="D193" i="32" l="1"/>
  <c r="C193" i="32"/>
  <c r="B194" i="32"/>
  <c r="D194" i="32" l="1"/>
  <c r="B195" i="32"/>
  <c r="C194" i="32"/>
  <c r="B196" i="32" l="1"/>
  <c r="C195" i="32"/>
  <c r="D195" i="32"/>
  <c r="D196" i="32" l="1"/>
  <c r="B197" i="32"/>
  <c r="C196" i="32"/>
  <c r="D197" i="32" l="1"/>
  <c r="B198" i="32"/>
  <c r="C197" i="32"/>
  <c r="D198" i="32" l="1"/>
  <c r="B199" i="32"/>
  <c r="C198" i="32"/>
  <c r="B200" i="32" l="1"/>
  <c r="D199" i="32"/>
  <c r="C199" i="32"/>
  <c r="D200" i="32" l="1"/>
  <c r="C200" i="32"/>
  <c r="B201" i="32"/>
  <c r="D201" i="32" l="1"/>
  <c r="C201" i="32"/>
  <c r="B202" i="32"/>
  <c r="D202" i="32" l="1"/>
  <c r="B203" i="32"/>
  <c r="C202" i="32"/>
  <c r="B204" i="32" l="1"/>
  <c r="C203" i="32"/>
  <c r="D203" i="32"/>
  <c r="D204" i="32" l="1"/>
  <c r="B205" i="32"/>
  <c r="C204" i="32"/>
  <c r="D205" i="32" l="1"/>
  <c r="B206" i="32"/>
  <c r="C205" i="32"/>
  <c r="D206" i="32" l="1"/>
  <c r="B207" i="32"/>
  <c r="C206" i="32"/>
  <c r="B208" i="32" l="1"/>
  <c r="D207" i="32"/>
  <c r="C207" i="32"/>
  <c r="D208" i="32" l="1"/>
  <c r="C208" i="32"/>
  <c r="B209" i="32"/>
  <c r="D209" i="32" l="1"/>
  <c r="C209" i="32"/>
  <c r="B210" i="32"/>
  <c r="D210" i="32" l="1"/>
  <c r="B211" i="32"/>
  <c r="C210" i="32"/>
  <c r="B212" i="32" l="1"/>
  <c r="C211" i="32"/>
  <c r="D211" i="32"/>
  <c r="D212" i="32" l="1"/>
  <c r="C212" i="32"/>
  <c r="B213" i="32"/>
  <c r="D213" i="32" l="1"/>
  <c r="C213" i="32"/>
  <c r="B214" i="32"/>
  <c r="D214" i="32" l="1"/>
  <c r="C214" i="32"/>
</calcChain>
</file>

<file path=xl/sharedStrings.xml><?xml version="1.0" encoding="utf-8"?>
<sst xmlns="http://schemas.openxmlformats.org/spreadsheetml/2006/main" count="78" uniqueCount="52">
  <si>
    <t>VaR Threshold, %</t>
  </si>
  <si>
    <t>Mean</t>
  </si>
  <si>
    <t>Std Dev</t>
  </si>
  <si>
    <t>VaR</t>
  </si>
  <si>
    <t>CVaR</t>
  </si>
  <si>
    <t>x</t>
  </si>
  <si>
    <t>Asset A</t>
  </si>
  <si>
    <t>Asset B</t>
  </si>
  <si>
    <t>A</t>
  </si>
  <si>
    <t>B</t>
  </si>
  <si>
    <t>Pf weights</t>
  </si>
  <si>
    <t>US Corp</t>
  </si>
  <si>
    <t>UST</t>
  </si>
  <si>
    <t>US HY</t>
  </si>
  <si>
    <t>Min</t>
  </si>
  <si>
    <t>Max</t>
  </si>
  <si>
    <t>From</t>
  </si>
  <si>
    <t>To</t>
  </si>
  <si>
    <t>Label</t>
  </si>
  <si>
    <t>G0Q0</t>
  </si>
  <si>
    <t>G0L0</t>
  </si>
  <si>
    <t>ICE BofA US Treasury Index</t>
  </si>
  <si>
    <t>ICE BofA UK Gilt Index</t>
  </si>
  <si>
    <t>Prob Sf</t>
  </si>
  <si>
    <t>VAR</t>
  </si>
  <si>
    <t>Threshold, %</t>
  </si>
  <si>
    <t>Rank</t>
  </si>
  <si>
    <t>Average Sf</t>
  </si>
  <si>
    <t>Shortfall</t>
  </si>
  <si>
    <t>Asf</t>
  </si>
  <si>
    <t>Portfolio</t>
  </si>
  <si>
    <t>-</t>
  </si>
  <si>
    <t>Return Index</t>
  </si>
  <si>
    <t>Indices used:</t>
  </si>
  <si>
    <t>Curve</t>
  </si>
  <si>
    <t>How to construct a histogram</t>
  </si>
  <si>
    <t>Asset return distributions</t>
  </si>
  <si>
    <t>Asset return correlations</t>
  </si>
  <si>
    <t>Where to put the hump of the curve</t>
  </si>
  <si>
    <t>Normal Distn</t>
  </si>
  <si>
    <t>Montly returns, %</t>
  </si>
  <si>
    <t>BM (G0Q0)</t>
  </si>
  <si>
    <t>PF (G0L0)</t>
  </si>
  <si>
    <t>Co-variance matrix</t>
  </si>
  <si>
    <t>Correlation</t>
  </si>
  <si>
    <t>empirical</t>
  </si>
  <si>
    <t>Difference</t>
  </si>
  <si>
    <t>Tracking Error</t>
  </si>
  <si>
    <t>monthly (to annualise *SQRT(12))</t>
  </si>
  <si>
    <t>End points of the lines on the chart</t>
  </si>
  <si>
    <t>Freq</t>
  </si>
  <si>
    <t>How to construct scatter charts with TE, VAR, CVAR, PSF, ASF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</si>
</sst>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
    <numFmt numFmtId="166" formatCode="0.0000"/>
    <numFmt numFmtId="168" formatCode="mmm\-yyyy"/>
  </numFmts>
  <fonts count="1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color theme="1"/>
      <name val="Arial Narrow"/>
      <family val="2"/>
    </font>
    <font>
      <i/>
      <sz val="11"/>
      <color theme="0" tint="-0.34998626667073579"/>
      <name val="Calibri"/>
      <family val="2"/>
      <scheme val="minor"/>
    </font>
    <font>
      <sz val="11"/>
      <color theme="1"/>
      <name val="Calibri"/>
      <family val="2"/>
    </font>
    <font>
      <i/>
      <sz val="11"/>
      <color theme="0" tint="-0.249977111117893"/>
      <name val="Calibri"/>
      <family val="2"/>
      <scheme val="minor"/>
    </font>
    <font>
      <b/>
      <sz val="20"/>
      <color theme="0"/>
      <name val="Calibri"/>
      <family val="2"/>
      <scheme val="minor"/>
    </font>
    <font>
      <sz val="11"/>
      <color theme="0"/>
      <name val="Calibri"/>
      <family val="2"/>
      <scheme val="minor"/>
    </font>
    <font>
      <i/>
      <sz val="11"/>
      <color theme="1" tint="0.499984740745262"/>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rgb="FF002060"/>
        <bgColor indexed="64"/>
      </patternFill>
    </fill>
    <fill>
      <patternFill patternType="solid">
        <fgColor rgb="FFFFCCCC"/>
        <bgColor indexed="64"/>
      </patternFill>
    </fill>
    <fill>
      <patternFill patternType="solid">
        <fgColor theme="0" tint="-0.14999847407452621"/>
        <bgColor indexed="64"/>
      </patternFill>
    </fill>
  </fills>
  <borders count="5">
    <border>
      <left/>
      <right/>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right/>
      <top style="hair">
        <color auto="1"/>
      </top>
      <bottom style="hair">
        <color auto="1"/>
      </bottom>
      <diagonal/>
    </border>
  </borders>
  <cellStyleXfs count="6">
    <xf numFmtId="0" fontId="0" fillId="0" borderId="0"/>
    <xf numFmtId="9" fontId="1" fillId="0" borderId="0" applyFont="0" applyFill="0" applyBorder="0" applyAlignment="0" applyProtection="0"/>
    <xf numFmtId="0" fontId="4" fillId="0" borderId="0"/>
    <xf numFmtId="0" fontId="6" fillId="0" borderId="0"/>
    <xf numFmtId="9" fontId="6" fillId="0" borderId="0" applyFont="0" applyFill="0" applyBorder="0" applyAlignment="0" applyProtection="0"/>
    <xf numFmtId="0" fontId="4" fillId="0" borderId="0"/>
  </cellStyleXfs>
  <cellXfs count="83">
    <xf numFmtId="0" fontId="0" fillId="0" borderId="0" xfId="0"/>
    <xf numFmtId="0" fontId="0" fillId="2" borderId="0" xfId="0" applyFill="1"/>
    <xf numFmtId="0" fontId="0" fillId="2" borderId="0" xfId="0" applyFill="1" applyAlignment="1">
      <alignment vertical="center"/>
    </xf>
    <xf numFmtId="0" fontId="0" fillId="2" borderId="0" xfId="0" applyFill="1" applyAlignment="1">
      <alignment horizontal="right" vertical="center"/>
    </xf>
    <xf numFmtId="164" fontId="0" fillId="2" borderId="0" xfId="0" applyNumberFormat="1" applyFill="1" applyAlignment="1">
      <alignment vertical="center"/>
    </xf>
    <xf numFmtId="0" fontId="5" fillId="2" borderId="0" xfId="0" applyFont="1" applyFill="1" applyAlignment="1">
      <alignment vertical="center"/>
    </xf>
    <xf numFmtId="164" fontId="0" fillId="2" borderId="1" xfId="0" applyNumberFormat="1" applyFill="1" applyBorder="1" applyAlignment="1">
      <alignment vertical="center"/>
    </xf>
    <xf numFmtId="2" fontId="0" fillId="2" borderId="1" xfId="0" applyNumberFormat="1" applyFill="1" applyBorder="1" applyAlignment="1">
      <alignment vertical="center"/>
    </xf>
    <xf numFmtId="164" fontId="3" fillId="3" borderId="0" xfId="0" applyNumberFormat="1" applyFont="1" applyFill="1" applyAlignment="1">
      <alignment horizontal="center" vertical="center"/>
    </xf>
    <xf numFmtId="164" fontId="0" fillId="2" borderId="0" xfId="0" applyNumberFormat="1" applyFill="1" applyAlignment="1">
      <alignment horizontal="center" vertical="center"/>
    </xf>
    <xf numFmtId="0" fontId="3" fillId="3" borderId="0" xfId="0" applyFont="1" applyFill="1" applyAlignment="1">
      <alignment horizontal="center" vertical="center"/>
    </xf>
    <xf numFmtId="0" fontId="0" fillId="2" borderId="0" xfId="0" applyFill="1" applyAlignment="1">
      <alignment horizontal="center" vertical="center"/>
    </xf>
    <xf numFmtId="0" fontId="0" fillId="6" borderId="1" xfId="0" applyFill="1" applyBorder="1" applyAlignment="1">
      <alignment horizontal="center" vertical="center"/>
    </xf>
    <xf numFmtId="2" fontId="0" fillId="2" borderId="1" xfId="0" applyNumberFormat="1" applyFill="1" applyBorder="1" applyAlignment="1">
      <alignment horizontal="center" vertical="center"/>
    </xf>
    <xf numFmtId="164" fontId="0" fillId="2" borderId="1" xfId="0" applyNumberFormat="1" applyFill="1" applyBorder="1" applyAlignment="1">
      <alignment horizontal="center" vertical="center"/>
    </xf>
    <xf numFmtId="0" fontId="0" fillId="6" borderId="1" xfId="0" applyFill="1" applyBorder="1" applyAlignment="1">
      <alignment horizontal="right"/>
    </xf>
    <xf numFmtId="0" fontId="0" fillId="2" borderId="1" xfId="0" applyFill="1" applyBorder="1"/>
    <xf numFmtId="0" fontId="0" fillId="2" borderId="1" xfId="0" applyFill="1" applyBorder="1" applyAlignment="1">
      <alignment vertical="center"/>
    </xf>
    <xf numFmtId="166" fontId="0" fillId="2" borderId="1" xfId="0" applyNumberFormat="1" applyFill="1" applyBorder="1" applyAlignment="1">
      <alignment vertical="center"/>
    </xf>
    <xf numFmtId="0" fontId="0" fillId="6" borderId="1" xfId="0" applyFill="1" applyBorder="1" applyAlignment="1">
      <alignment vertical="center"/>
    </xf>
    <xf numFmtId="0" fontId="3" fillId="6" borderId="1" xfId="0" applyFont="1" applyFill="1" applyBorder="1" applyAlignment="1">
      <alignment horizontal="center" vertical="center"/>
    </xf>
    <xf numFmtId="0" fontId="3" fillId="6" borderId="1" xfId="0" applyFont="1" applyFill="1" applyBorder="1" applyAlignment="1">
      <alignment horizontal="center" vertical="center" wrapText="1"/>
    </xf>
    <xf numFmtId="0" fontId="3" fillId="6" borderId="1" xfId="0" applyFont="1" applyFill="1" applyBorder="1" applyAlignment="1">
      <alignment horizontal="left" vertical="center"/>
    </xf>
    <xf numFmtId="0" fontId="0" fillId="4" borderId="1" xfId="0" applyFill="1" applyBorder="1" applyAlignment="1">
      <alignment vertical="center"/>
    </xf>
    <xf numFmtId="165" fontId="0" fillId="4" borderId="1" xfId="0" applyNumberFormat="1" applyFill="1" applyBorder="1" applyAlignment="1">
      <alignment vertical="center"/>
    </xf>
    <xf numFmtId="0" fontId="1" fillId="5" borderId="0" xfId="2" applyFont="1" applyFill="1"/>
    <xf numFmtId="0" fontId="1" fillId="5" borderId="0" xfId="0" applyFont="1" applyFill="1"/>
    <xf numFmtId="0" fontId="2" fillId="7" borderId="0" xfId="2" applyFont="1" applyFill="1"/>
    <xf numFmtId="0" fontId="1" fillId="2" borderId="0" xfId="2" applyFont="1" applyFill="1"/>
    <xf numFmtId="0" fontId="1" fillId="2" borderId="0" xfId="0" applyFont="1" applyFill="1"/>
    <xf numFmtId="0" fontId="3" fillId="2" borderId="0" xfId="2" applyFont="1" applyFill="1" applyAlignment="1">
      <alignment horizontal="right"/>
    </xf>
    <xf numFmtId="0" fontId="1" fillId="2" borderId="1" xfId="2" applyFont="1" applyFill="1" applyBorder="1"/>
    <xf numFmtId="0" fontId="1" fillId="6" borderId="1" xfId="2" applyFont="1" applyFill="1" applyBorder="1"/>
    <xf numFmtId="0" fontId="3" fillId="6" borderId="1" xfId="2" applyFont="1" applyFill="1" applyBorder="1" applyAlignment="1">
      <alignment horizontal="right"/>
    </xf>
    <xf numFmtId="0" fontId="1" fillId="2" borderId="0" xfId="2" applyFont="1" applyFill="1" applyAlignment="1">
      <alignment horizontal="right"/>
    </xf>
    <xf numFmtId="0" fontId="1" fillId="6" borderId="1" xfId="2" applyFont="1" applyFill="1" applyBorder="1" applyAlignment="1">
      <alignment horizontal="right"/>
    </xf>
    <xf numFmtId="0" fontId="8" fillId="8" borderId="0" xfId="0" applyFont="1" applyFill="1"/>
    <xf numFmtId="0" fontId="0" fillId="2" borderId="1" xfId="0" applyFill="1" applyBorder="1" applyAlignment="1">
      <alignment horizontal="right"/>
    </xf>
    <xf numFmtId="2" fontId="0" fillId="2" borderId="1" xfId="0" applyNumberFormat="1" applyFill="1" applyBorder="1"/>
    <xf numFmtId="0" fontId="0" fillId="6" borderId="2" xfId="0" applyFill="1" applyBorder="1"/>
    <xf numFmtId="0" fontId="0" fillId="6" borderId="4" xfId="0" applyFill="1" applyBorder="1"/>
    <xf numFmtId="0" fontId="0" fillId="6" borderId="3" xfId="0" applyFill="1" applyBorder="1"/>
    <xf numFmtId="0" fontId="7" fillId="2" borderId="0" xfId="0" applyFont="1" applyFill="1"/>
    <xf numFmtId="164" fontId="7" fillId="2" borderId="0" xfId="0" applyNumberFormat="1" applyFont="1" applyFill="1"/>
    <xf numFmtId="0" fontId="3" fillId="6" borderId="2" xfId="0" applyFont="1" applyFill="1" applyBorder="1"/>
    <xf numFmtId="0" fontId="3" fillId="2" borderId="0" xfId="2" applyFont="1" applyFill="1" applyAlignment="1">
      <alignment horizontal="center"/>
    </xf>
    <xf numFmtId="164" fontId="1" fillId="2" borderId="1" xfId="2" applyNumberFormat="1" applyFont="1" applyFill="1" applyBorder="1"/>
    <xf numFmtId="0" fontId="3" fillId="6" borderId="1" xfId="0" applyFont="1" applyFill="1" applyBorder="1"/>
    <xf numFmtId="164" fontId="1" fillId="2" borderId="1" xfId="2" quotePrefix="1" applyNumberFormat="1" applyFont="1" applyFill="1" applyBorder="1" applyAlignment="1">
      <alignment horizontal="right"/>
    </xf>
    <xf numFmtId="164" fontId="1" fillId="2" borderId="1" xfId="2" applyNumberFormat="1" applyFont="1" applyFill="1" applyBorder="1" applyAlignment="1">
      <alignment horizontal="right"/>
    </xf>
    <xf numFmtId="0" fontId="3" fillId="6" borderId="2" xfId="0" quotePrefix="1" applyFont="1" applyFill="1" applyBorder="1" applyAlignment="1">
      <alignment vertical="center"/>
    </xf>
    <xf numFmtId="0" fontId="3" fillId="6" borderId="2" xfId="0" applyFont="1" applyFill="1" applyBorder="1" applyAlignment="1">
      <alignment vertical="center"/>
    </xf>
    <xf numFmtId="0" fontId="3" fillId="6" borderId="3" xfId="0" applyFont="1" applyFill="1" applyBorder="1" applyAlignment="1">
      <alignment horizontal="right" vertical="center"/>
    </xf>
    <xf numFmtId="9" fontId="0" fillId="4" borderId="1" xfId="1" applyFont="1" applyFill="1" applyBorder="1" applyAlignment="1">
      <alignment vertical="center"/>
    </xf>
    <xf numFmtId="0" fontId="9" fillId="2" borderId="0" xfId="0" applyFont="1" applyFill="1" applyAlignment="1">
      <alignment vertical="center"/>
    </xf>
    <xf numFmtId="0" fontId="9" fillId="2" borderId="0" xfId="0" applyFont="1" applyFill="1"/>
    <xf numFmtId="164" fontId="8" fillId="8" borderId="0" xfId="0" applyNumberFormat="1" applyFont="1" applyFill="1" applyAlignment="1">
      <alignment horizontal="right"/>
    </xf>
    <xf numFmtId="164" fontId="0" fillId="2" borderId="0" xfId="0" applyNumberFormat="1" applyFill="1" applyAlignment="1">
      <alignment horizontal="right"/>
    </xf>
    <xf numFmtId="164" fontId="0" fillId="2" borderId="1" xfId="0" applyNumberFormat="1" applyFill="1" applyBorder="1" applyAlignment="1">
      <alignment horizontal="right"/>
    </xf>
    <xf numFmtId="164" fontId="0" fillId="2" borderId="1" xfId="0" applyNumberFormat="1" applyFill="1" applyBorder="1" applyAlignment="1">
      <alignment horizontal="right" vertical="center"/>
    </xf>
    <xf numFmtId="0" fontId="10" fillId="6" borderId="4" xfId="0" applyFont="1" applyFill="1" applyBorder="1" applyAlignment="1">
      <alignment horizontal="right"/>
    </xf>
    <xf numFmtId="164" fontId="10" fillId="6" borderId="3" xfId="0" applyNumberFormat="1" applyFont="1" applyFill="1" applyBorder="1" applyAlignment="1">
      <alignment horizontal="left"/>
    </xf>
    <xf numFmtId="0" fontId="1" fillId="9" borderId="1" xfId="2" applyFont="1" applyFill="1" applyBorder="1"/>
    <xf numFmtId="164" fontId="1" fillId="2" borderId="0" xfId="2" applyNumberFormat="1" applyFont="1" applyFill="1"/>
    <xf numFmtId="1" fontId="1" fillId="2" borderId="1" xfId="2" applyNumberFormat="1" applyFont="1" applyFill="1" applyBorder="1"/>
    <xf numFmtId="0" fontId="7" fillId="2" borderId="0" xfId="2" applyFont="1" applyFill="1"/>
    <xf numFmtId="0" fontId="1" fillId="6" borderId="2" xfId="2" applyFont="1" applyFill="1" applyBorder="1" applyAlignment="1">
      <alignment horizontal="left"/>
    </xf>
    <xf numFmtId="0" fontId="1" fillId="6" borderId="4" xfId="2" applyFont="1" applyFill="1" applyBorder="1" applyAlignment="1">
      <alignment horizontal="left"/>
    </xf>
    <xf numFmtId="0" fontId="1" fillId="6" borderId="3" xfId="2" applyFont="1" applyFill="1" applyBorder="1" applyAlignment="1">
      <alignment horizontal="left"/>
    </xf>
    <xf numFmtId="164" fontId="0" fillId="6" borderId="1" xfId="0" applyNumberFormat="1" applyFill="1" applyBorder="1" applyAlignment="1">
      <alignment horizontal="right"/>
    </xf>
    <xf numFmtId="0" fontId="8" fillId="8" borderId="0" xfId="0" applyFont="1" applyFill="1" applyAlignment="1">
      <alignment horizontal="left"/>
    </xf>
    <xf numFmtId="0" fontId="0" fillId="6" borderId="1" xfId="0" applyFill="1" applyBorder="1" applyAlignment="1">
      <alignment horizontal="left"/>
    </xf>
    <xf numFmtId="0" fontId="0" fillId="2" borderId="0" xfId="0" applyFill="1" applyAlignment="1">
      <alignment horizontal="left"/>
    </xf>
    <xf numFmtId="168" fontId="0" fillId="6" borderId="1" xfId="0" applyNumberFormat="1" applyFill="1" applyBorder="1" applyAlignment="1">
      <alignment horizontal="left" vertical="center"/>
    </xf>
    <xf numFmtId="0" fontId="0" fillId="10" borderId="0" xfId="0" applyFill="1" applyAlignment="1">
      <alignment vertical="center"/>
    </xf>
    <xf numFmtId="1" fontId="0" fillId="2" borderId="1" xfId="0" applyNumberFormat="1" applyFill="1" applyBorder="1" applyAlignment="1">
      <alignment vertical="center"/>
    </xf>
    <xf numFmtId="9" fontId="0" fillId="0" borderId="1" xfId="1" applyFont="1" applyFill="1" applyBorder="1" applyAlignment="1">
      <alignment vertical="center"/>
    </xf>
    <xf numFmtId="0" fontId="1" fillId="6" borderId="1" xfId="5" applyFont="1" applyFill="1" applyBorder="1"/>
    <xf numFmtId="0" fontId="3" fillId="6" borderId="1" xfId="5" applyFont="1" applyFill="1" applyBorder="1" applyAlignment="1">
      <alignment horizontal="right"/>
    </xf>
    <xf numFmtId="15" fontId="1" fillId="6" borderId="1" xfId="5" applyNumberFormat="1" applyFont="1" applyFill="1" applyBorder="1"/>
    <xf numFmtId="2" fontId="1" fillId="2" borderId="1" xfId="5" applyNumberFormat="1" applyFont="1" applyFill="1" applyBorder="1"/>
    <xf numFmtId="0" fontId="3" fillId="6" borderId="1" xfId="0" applyFont="1" applyFill="1" applyBorder="1" applyAlignment="1">
      <alignment horizontal="center"/>
    </xf>
    <xf numFmtId="0" fontId="3" fillId="6" borderId="1" xfId="2" applyFont="1" applyFill="1" applyBorder="1" applyAlignment="1">
      <alignment horizontal="center"/>
    </xf>
  </cellXfs>
  <cellStyles count="6">
    <cellStyle name="Normal" xfId="0" builtinId="0"/>
    <cellStyle name="Normal 2" xfId="2" xr:uid="{AEEEB1BB-A797-41C9-9C3D-687A040FD14C}"/>
    <cellStyle name="Normal 2 2" xfId="5" xr:uid="{8DE00875-BC41-4749-9B26-4C66E8298534}"/>
    <cellStyle name="Normal 3" xfId="3" xr:uid="{E37A7E7B-2ABA-4210-82F5-D346157BC6F6}"/>
    <cellStyle name="Percent" xfId="1" builtinId="5"/>
    <cellStyle name="Percent 2" xfId="4" xr:uid="{10FFD00F-7F3D-45E8-8A3F-F3A4B273915B}"/>
  </cellStyles>
  <dxfs count="0"/>
  <tableStyles count="0" defaultTableStyle="TableStyleMedium2" defaultPivotStyle="PivotStyleLight16"/>
  <colors>
    <mruColors>
      <color rgb="FFECE9E7"/>
      <color rgb="FFCFC9C4"/>
      <color rgb="FFE67F7C"/>
      <color rgb="FFF0D8B9"/>
      <color rgb="FFFCE4D6"/>
      <color rgb="FFFFCCCC"/>
      <color rgb="FF28264B"/>
      <color rgb="FF548BE9"/>
      <color rgb="FF9A22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Asset Return Distributions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3959860280622818E-2"/>
          <c:y val="0.15167563263797046"/>
          <c:w val="0.93484214473190852"/>
          <c:h val="0.70031220818267481"/>
        </c:manualLayout>
      </c:layout>
      <c:scatterChart>
        <c:scatterStyle val="lineMarker"/>
        <c:varyColors val="0"/>
        <c:ser>
          <c:idx val="0"/>
          <c:order val="0"/>
          <c:tx>
            <c:strRef>
              <c:f>'1WS '!$C$10</c:f>
              <c:strCache>
                <c:ptCount val="1"/>
                <c:pt idx="0">
                  <c:v>Asset A</c:v>
                </c:pt>
              </c:strCache>
            </c:strRef>
          </c:tx>
          <c:spPr>
            <a:ln w="19050" cap="rnd">
              <a:solidFill>
                <a:srgbClr val="548BE9"/>
              </a:solidFill>
              <a:round/>
            </a:ln>
            <a:effectLst/>
          </c:spPr>
          <c:marker>
            <c:symbol val="none"/>
          </c:marker>
          <c:xVal>
            <c:numRef>
              <c:f>'1WS '!$B$11:$B$211</c:f>
              <c:numCache>
                <c:formatCode>0.000</c:formatCode>
                <c:ptCount val="201"/>
              </c:numCache>
            </c:numRef>
          </c:xVal>
          <c:yVal>
            <c:numRef>
              <c:f>'1WS '!$C$11:$C$211</c:f>
              <c:numCache>
                <c:formatCode>0.00</c:formatCode>
                <c:ptCount val="201"/>
              </c:numCache>
            </c:numRef>
          </c:yVal>
          <c:smooth val="0"/>
          <c:extLst>
            <c:ext xmlns:c16="http://schemas.microsoft.com/office/drawing/2014/chart" uri="{C3380CC4-5D6E-409C-BE32-E72D297353CC}">
              <c16:uniqueId val="{00000000-F51C-47AB-BCA2-DE29346FBA3C}"/>
            </c:ext>
          </c:extLst>
        </c:ser>
        <c:ser>
          <c:idx val="1"/>
          <c:order val="1"/>
          <c:tx>
            <c:strRef>
              <c:f>'1WS '!$D$10</c:f>
              <c:strCache>
                <c:ptCount val="1"/>
                <c:pt idx="0">
                  <c:v>Asset B</c:v>
                </c:pt>
              </c:strCache>
            </c:strRef>
          </c:tx>
          <c:spPr>
            <a:ln w="19050" cap="rnd">
              <a:solidFill>
                <a:srgbClr val="E6BE8A"/>
              </a:solidFill>
              <a:round/>
            </a:ln>
            <a:effectLst/>
          </c:spPr>
          <c:marker>
            <c:symbol val="none"/>
          </c:marker>
          <c:xVal>
            <c:numRef>
              <c:f>'1WS '!$B$11:$B$211</c:f>
              <c:numCache>
                <c:formatCode>0.000</c:formatCode>
                <c:ptCount val="201"/>
              </c:numCache>
            </c:numRef>
          </c:xVal>
          <c:yVal>
            <c:numRef>
              <c:f>'1WS '!$D$11:$D$211</c:f>
              <c:numCache>
                <c:formatCode>0.00</c:formatCode>
                <c:ptCount val="201"/>
              </c:numCache>
            </c:numRef>
          </c:yVal>
          <c:smooth val="0"/>
          <c:extLst>
            <c:ext xmlns:c16="http://schemas.microsoft.com/office/drawing/2014/chart" uri="{C3380CC4-5D6E-409C-BE32-E72D297353CC}">
              <c16:uniqueId val="{00000001-F51C-47AB-BCA2-DE29346FBA3C}"/>
            </c:ext>
          </c:extLst>
        </c:ser>
        <c:ser>
          <c:idx val="2"/>
          <c:order val="2"/>
          <c:spPr>
            <a:ln w="19050" cap="rnd">
              <a:solidFill>
                <a:srgbClr val="548BE9"/>
              </a:solidFill>
              <a:round/>
            </a:ln>
            <a:effectLst/>
          </c:spPr>
          <c:marker>
            <c:symbol val="none"/>
          </c:marker>
          <c:dLbls>
            <c:dLbl>
              <c:idx val="2"/>
              <c:layout>
                <c:manualLayout>
                  <c:x val="-0.11428571428571428"/>
                  <c:y val="-5.4054038716311634E-2"/>
                </c:manualLayout>
              </c:layout>
              <c:tx>
                <c:rich>
                  <a:bodyPr/>
                  <a:lstStyle/>
                  <a:p>
                    <a:r>
                      <a:rPr lang="en-US"/>
                      <a:t>CVaR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51C-47AB-BCA2-DE29346FBA3C}"/>
                </c:ext>
              </c:extLst>
            </c:dLbl>
            <c:dLbl>
              <c:idx val="5"/>
              <c:layout>
                <c:manualLayout>
                  <c:x val="-8.4202252687925722E-2"/>
                  <c:y val="-9.3693667108273634E-2"/>
                </c:manualLayout>
              </c:layout>
              <c:tx>
                <c:rich>
                  <a:bodyPr/>
                  <a:lstStyle/>
                  <a:p>
                    <a:r>
                      <a:rPr lang="en-US"/>
                      <a:t>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51C-47AB-BCA2-DE29346FBA3C}"/>
                </c:ext>
              </c:extLst>
            </c:dLbl>
            <c:dLbl>
              <c:idx val="8"/>
              <c:layout>
                <c:manualLayout>
                  <c:x val="-7.0167071221360566E-2"/>
                  <c:y val="-3.6036025810874492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51C-47AB-BCA2-DE29346FBA3C}"/>
                </c:ext>
              </c:extLst>
            </c:dLbl>
            <c:dLbl>
              <c:idx val="11"/>
              <c:layout>
                <c:manualLayout>
                  <c:x val="-3.6090225563909846E-2"/>
                  <c:y val="-3.9639628391961869E-2"/>
                </c:manualLayout>
              </c:layout>
              <c:tx>
                <c:rich>
                  <a:bodyPr/>
                  <a:lstStyle/>
                  <a:p>
                    <a:r>
                      <a:rPr lang="en-US"/>
                      <a:t>Mean</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51C-47AB-BCA2-DE29346FBA3C}"/>
                </c:ext>
              </c:extLst>
            </c:dLbl>
            <c:dLbl>
              <c:idx val="14"/>
              <c:layout>
                <c:manualLayout>
                  <c:x val="8.0284175004439497E-3"/>
                  <c:y val="-3.6036025810874492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51C-47AB-BCA2-DE29346FBA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'1WS '!$F$11:$F$27</c:f>
              <c:numCache>
                <c:formatCode>General</c:formatCode>
                <c:ptCount val="17"/>
                <c:pt idx="0">
                  <c:v>0</c:v>
                </c:pt>
                <c:pt idx="1">
                  <c:v>-2.0627228075074266</c:v>
                </c:pt>
                <c:pt idx="2">
                  <c:v>-2.0627128075074266</c:v>
                </c:pt>
                <c:pt idx="3">
                  <c:v>-2.0627028075074265</c:v>
                </c:pt>
                <c:pt idx="4">
                  <c:v>-1.6448636269514727</c:v>
                </c:pt>
                <c:pt idx="5">
                  <c:v>-1.6448536269514726</c:v>
                </c:pt>
                <c:pt idx="6">
                  <c:v>-1.6448436269514726</c:v>
                </c:pt>
                <c:pt idx="7">
                  <c:v>-1.0000100000000001</c:v>
                </c:pt>
                <c:pt idx="8">
                  <c:v>-1</c:v>
                </c:pt>
                <c:pt idx="9">
                  <c:v>-0.99999000000000005</c:v>
                </c:pt>
                <c:pt idx="10">
                  <c:v>-1.0000000000000001E-5</c:v>
                </c:pt>
                <c:pt idx="11">
                  <c:v>0</c:v>
                </c:pt>
                <c:pt idx="12">
                  <c:v>1.0000000000000001E-5</c:v>
                </c:pt>
                <c:pt idx="13">
                  <c:v>0.99999000000000005</c:v>
                </c:pt>
                <c:pt idx="14">
                  <c:v>1</c:v>
                </c:pt>
                <c:pt idx="15">
                  <c:v>1.0000100000000001</c:v>
                </c:pt>
                <c:pt idx="16">
                  <c:v>0</c:v>
                </c:pt>
              </c:numCache>
            </c:numRef>
          </c:xVal>
          <c:yVal>
            <c:numRef>
              <c:f>'1WS '!$G$11:$G$27</c:f>
              <c:numCache>
                <c:formatCode>General</c:formatCode>
                <c:ptCount val="17"/>
                <c:pt idx="0">
                  <c:v>0</c:v>
                </c:pt>
                <c:pt idx="1">
                  <c:v>0</c:v>
                </c:pt>
                <c:pt idx="3">
                  <c:v>0</c:v>
                </c:pt>
                <c:pt idx="4">
                  <c:v>0</c:v>
                </c:pt>
                <c:pt idx="6">
                  <c:v>0</c:v>
                </c:pt>
                <c:pt idx="7">
                  <c:v>0</c:v>
                </c:pt>
                <c:pt idx="9">
                  <c:v>0</c:v>
                </c:pt>
                <c:pt idx="10">
                  <c:v>0</c:v>
                </c:pt>
                <c:pt idx="12">
                  <c:v>0</c:v>
                </c:pt>
                <c:pt idx="13">
                  <c:v>0</c:v>
                </c:pt>
                <c:pt idx="15">
                  <c:v>0</c:v>
                </c:pt>
                <c:pt idx="16">
                  <c:v>0</c:v>
                </c:pt>
              </c:numCache>
            </c:numRef>
          </c:yVal>
          <c:smooth val="0"/>
          <c:extLst>
            <c:ext xmlns:c16="http://schemas.microsoft.com/office/drawing/2014/chart" uri="{C3380CC4-5D6E-409C-BE32-E72D297353CC}">
              <c16:uniqueId val="{00000007-F51C-47AB-BCA2-DE29346FBA3C}"/>
            </c:ext>
          </c:extLst>
        </c:ser>
        <c:ser>
          <c:idx val="3"/>
          <c:order val="3"/>
          <c:spPr>
            <a:ln w="19050" cap="rnd">
              <a:solidFill>
                <a:srgbClr val="E6BE8A"/>
              </a:solidFill>
              <a:round/>
            </a:ln>
            <a:effectLst/>
          </c:spPr>
          <c:marker>
            <c:symbol val="none"/>
          </c:marker>
          <c:dLbls>
            <c:dLbl>
              <c:idx val="2"/>
              <c:layout>
                <c:manualLayout>
                  <c:x val="-0.11428571428571428"/>
                  <c:y val="-5.4054038716311766E-2"/>
                </c:manualLayout>
              </c:layout>
              <c:tx>
                <c:rich>
                  <a:bodyPr/>
                  <a:lstStyle/>
                  <a:p>
                    <a:r>
                      <a:rPr lang="en-US"/>
                      <a:t>CVaR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51C-47AB-BCA2-DE29346FBA3C}"/>
                </c:ext>
              </c:extLst>
            </c:dLbl>
            <c:dLbl>
              <c:idx val="5"/>
              <c:layout>
                <c:manualLayout>
                  <c:x val="-8.4210526315789472E-2"/>
                  <c:y val="-9.369366710827351E-2"/>
                </c:manualLayout>
              </c:layout>
              <c:tx>
                <c:rich>
                  <a:bodyPr/>
                  <a:lstStyle/>
                  <a:p>
                    <a:r>
                      <a:rPr lang="en-US"/>
                      <a:t>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F51C-47AB-BCA2-DE29346FBA3C}"/>
                </c:ext>
              </c:extLst>
            </c:dLbl>
            <c:dLbl>
              <c:idx val="8"/>
              <c:layout>
                <c:manualLayout>
                  <c:x val="-7.2180451127819623E-2"/>
                  <c:y val="-3.9639628391961931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F51C-47AB-BCA2-DE29346FBA3C}"/>
                </c:ext>
              </c:extLst>
            </c:dLbl>
            <c:dLbl>
              <c:idx val="11"/>
              <c:layout>
                <c:manualLayout>
                  <c:x val="-3.6090225563909846E-2"/>
                  <c:y val="-3.9639628391961869E-2"/>
                </c:manualLayout>
              </c:layout>
              <c:tx>
                <c:rich>
                  <a:bodyPr/>
                  <a:lstStyle/>
                  <a:p>
                    <a:r>
                      <a:rPr lang="en-US"/>
                      <a:t>Mean</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F51C-47AB-BCA2-DE29346FBA3C}"/>
                </c:ext>
              </c:extLst>
            </c:dLbl>
            <c:dLbl>
              <c:idx val="14"/>
              <c:layout>
                <c:manualLayout>
                  <c:x val="1.0791545793617167E-3"/>
                  <c:y val="-3.6035883936757128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layout>
                    <c:manualLayout>
                      <c:w val="5.6661654135338337E-2"/>
                      <c:h val="5.0396523970625239E-2"/>
                    </c:manualLayout>
                  </c15:layout>
                  <c15:showDataLabelsRange val="0"/>
                </c:ext>
                <c:ext xmlns:c16="http://schemas.microsoft.com/office/drawing/2014/chart" uri="{C3380CC4-5D6E-409C-BE32-E72D297353CC}">
                  <c16:uniqueId val="{0000000C-F51C-47AB-BCA2-DE29346FBA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'1WS '!$I$11:$I$27</c:f>
              <c:numCache>
                <c:formatCode>General</c:formatCode>
                <c:ptCount val="17"/>
                <c:pt idx="0">
                  <c:v>0</c:v>
                </c:pt>
                <c:pt idx="1">
                  <c:v>-3.1254356150148532</c:v>
                </c:pt>
                <c:pt idx="2">
                  <c:v>-3.1254256150148532</c:v>
                </c:pt>
                <c:pt idx="3">
                  <c:v>-3.1254156150148531</c:v>
                </c:pt>
                <c:pt idx="4">
                  <c:v>-2.2897172539029453</c:v>
                </c:pt>
                <c:pt idx="5">
                  <c:v>-2.2897072539029453</c:v>
                </c:pt>
                <c:pt idx="6">
                  <c:v>-2.2896972539029452</c:v>
                </c:pt>
                <c:pt idx="7">
                  <c:v>-1.0000100000000001</c:v>
                </c:pt>
                <c:pt idx="8">
                  <c:v>-1</c:v>
                </c:pt>
                <c:pt idx="9">
                  <c:v>-0.99999000000000005</c:v>
                </c:pt>
                <c:pt idx="10">
                  <c:v>0.99999000000000005</c:v>
                </c:pt>
                <c:pt idx="11">
                  <c:v>1</c:v>
                </c:pt>
                <c:pt idx="12">
                  <c:v>1.0000100000000001</c:v>
                </c:pt>
                <c:pt idx="13">
                  <c:v>2.9999899999999999</c:v>
                </c:pt>
                <c:pt idx="14">
                  <c:v>3</c:v>
                </c:pt>
                <c:pt idx="15">
                  <c:v>3.0000100000000001</c:v>
                </c:pt>
                <c:pt idx="16">
                  <c:v>0</c:v>
                </c:pt>
              </c:numCache>
            </c:numRef>
          </c:xVal>
          <c:yVal>
            <c:numRef>
              <c:f>'1WS '!$J$11:$J$27</c:f>
              <c:numCache>
                <c:formatCode>General</c:formatCode>
                <c:ptCount val="17"/>
                <c:pt idx="0">
                  <c:v>0</c:v>
                </c:pt>
                <c:pt idx="1">
                  <c:v>0</c:v>
                </c:pt>
                <c:pt idx="3">
                  <c:v>0</c:v>
                </c:pt>
                <c:pt idx="4">
                  <c:v>0</c:v>
                </c:pt>
                <c:pt idx="6">
                  <c:v>0</c:v>
                </c:pt>
                <c:pt idx="7">
                  <c:v>0</c:v>
                </c:pt>
                <c:pt idx="9">
                  <c:v>0</c:v>
                </c:pt>
                <c:pt idx="10">
                  <c:v>0</c:v>
                </c:pt>
                <c:pt idx="12">
                  <c:v>0</c:v>
                </c:pt>
                <c:pt idx="13">
                  <c:v>0</c:v>
                </c:pt>
                <c:pt idx="15">
                  <c:v>0</c:v>
                </c:pt>
                <c:pt idx="16">
                  <c:v>0</c:v>
                </c:pt>
              </c:numCache>
            </c:numRef>
          </c:yVal>
          <c:smooth val="0"/>
          <c:extLst>
            <c:ext xmlns:c16="http://schemas.microsoft.com/office/drawing/2014/chart" uri="{C3380CC4-5D6E-409C-BE32-E72D297353CC}">
              <c16:uniqueId val="{0000000D-F51C-47AB-BCA2-DE29346FBA3C}"/>
            </c:ext>
          </c:extLst>
        </c:ser>
        <c:dLbls>
          <c:showLegendKey val="0"/>
          <c:showVal val="0"/>
          <c:showCatName val="0"/>
          <c:showSerName val="0"/>
          <c:showPercent val="0"/>
          <c:showBubbleSize val="0"/>
        </c:dLbls>
        <c:axId val="926866128"/>
        <c:axId val="926864816"/>
      </c:scatterChart>
      <c:valAx>
        <c:axId val="926866128"/>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4816"/>
        <c:crosses val="autoZero"/>
        <c:crossBetween val="midCat"/>
      </c:valAx>
      <c:valAx>
        <c:axId val="92686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6128"/>
        <c:crosses val="autoZero"/>
        <c:crossBetween val="midCat"/>
      </c:valAx>
      <c:spPr>
        <a:noFill/>
        <a:ln>
          <a:noFill/>
        </a:ln>
        <a:effectLst/>
      </c:spPr>
    </c:plotArea>
    <c:legend>
      <c:legendPos val="b"/>
      <c:legendEntry>
        <c:idx val="2"/>
        <c:delete val="1"/>
      </c:legendEntry>
      <c:legendEntry>
        <c:idx val="3"/>
        <c:delete val="1"/>
      </c:legendEntry>
      <c:layout>
        <c:manualLayout>
          <c:xMode val="edge"/>
          <c:yMode val="edge"/>
          <c:x val="0.37796885915576345"/>
          <c:y val="0.9265923454373709"/>
          <c:w val="0.24460789769699839"/>
          <c:h val="6.081121917820269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3959860280622818E-2"/>
          <c:y val="0.15167563263797046"/>
          <c:w val="0.93484214473190852"/>
          <c:h val="0.70031220818267481"/>
        </c:manualLayout>
      </c:layout>
      <c:scatterChart>
        <c:scatterStyle val="lineMarker"/>
        <c:varyColors val="0"/>
        <c:ser>
          <c:idx val="0"/>
          <c:order val="0"/>
          <c:tx>
            <c:strRef>
              <c:f>'2WS'!$C$14</c:f>
              <c:strCache>
                <c:ptCount val="1"/>
                <c:pt idx="0">
                  <c:v>Asset A</c:v>
                </c:pt>
              </c:strCache>
            </c:strRef>
          </c:tx>
          <c:spPr>
            <a:ln w="12700" cap="rnd">
              <a:solidFill>
                <a:srgbClr val="548BE9"/>
              </a:solidFill>
              <a:round/>
            </a:ln>
            <a:effectLst/>
          </c:spPr>
          <c:marker>
            <c:symbol val="none"/>
          </c:marker>
          <c:xVal>
            <c:numRef>
              <c:f>'2WS'!$B$15:$B$215</c:f>
              <c:numCache>
                <c:formatCode>General</c:formatCode>
                <c:ptCount val="201"/>
                <c:pt idx="0" formatCode="0.0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formatCode="0.00">
                  <c:v>9</c:v>
                </c:pt>
              </c:numCache>
            </c:numRef>
          </c:xVal>
          <c:yVal>
            <c:numRef>
              <c:f>'2WS'!$C$15:$C$215</c:f>
              <c:numCache>
                <c:formatCode>0.0000</c:formatCode>
                <c:ptCount val="201"/>
                <c:pt idx="0">
                  <c:v>9.1347204083645936E-12</c:v>
                </c:pt>
                <c:pt idx="1">
                  <c:v>1.5940811515883886E-11</c:v>
                </c:pt>
                <c:pt idx="2">
                  <c:v>2.7640513661679543E-11</c:v>
                </c:pt>
                <c:pt idx="3">
                  <c:v>4.762141631915674E-11</c:v>
                </c:pt>
                <c:pt idx="4">
                  <c:v>8.1522787527000639E-11</c:v>
                </c:pt>
                <c:pt idx="5">
                  <c:v>1.3866799941653172E-10</c:v>
                </c:pt>
                <c:pt idx="6">
                  <c:v>2.3436566877932076E-10</c:v>
                </c:pt>
                <c:pt idx="7">
                  <c:v>3.9357930409014538E-10</c:v>
                </c:pt>
                <c:pt idx="8">
                  <c:v>6.5673630963611265E-10</c:v>
                </c:pt>
                <c:pt idx="9">
                  <c:v>1.088855673277068E-9</c:v>
                </c:pt>
                <c:pt idx="10">
                  <c:v>1.7937839079640922E-9</c:v>
                </c:pt>
                <c:pt idx="11">
                  <c:v>2.9362325198239412E-9</c:v>
                </c:pt>
                <c:pt idx="12">
                  <c:v>4.7756366922822924E-9</c:v>
                </c:pt>
                <c:pt idx="13">
                  <c:v>7.717784212570557E-9</c:v>
                </c:pt>
                <c:pt idx="14">
                  <c:v>1.2392944314150173E-8</c:v>
                </c:pt>
                <c:pt idx="15">
                  <c:v>1.9773196406244814E-8</c:v>
                </c:pt>
                <c:pt idx="16">
                  <c:v>3.1347273817919896E-8</c:v>
                </c:pt>
                <c:pt idx="17">
                  <c:v>4.9379102271104754E-8</c:v>
                </c:pt>
                <c:pt idx="18">
                  <c:v>7.7287118885229607E-8</c:v>
                </c:pt>
                <c:pt idx="19">
                  <c:v>1.2019642790628337E-7</c:v>
                </c:pt>
                <c:pt idx="20">
                  <c:v>1.8573618445553061E-7</c:v>
                </c:pt>
                <c:pt idx="21">
                  <c:v>2.8518192322840016E-7</c:v>
                </c:pt>
                <c:pt idx="22">
                  <c:v>4.3507886075151478E-7</c:v>
                </c:pt>
                <c:pt idx="23">
                  <c:v>6.595298968575275E-7</c:v>
                </c:pt>
                <c:pt idx="24">
                  <c:v>9.9339394133992092E-7</c:v>
                </c:pt>
                <c:pt idx="25">
                  <c:v>1.486719514734311E-6</c:v>
                </c:pt>
                <c:pt idx="26">
                  <c:v>2.2108388745684411E-6</c:v>
                </c:pt>
                <c:pt idx="27">
                  <c:v>3.2666729639933044E-6</c:v>
                </c:pt>
                <c:pt idx="28">
                  <c:v>4.7959510215525641E-6</c:v>
                </c:pt>
                <c:pt idx="29">
                  <c:v>6.996234143270455E-6</c:v>
                </c:pt>
                <c:pt idx="30">
                  <c:v>1.014085206548685E-5</c:v>
                </c:pt>
                <c:pt idx="31">
                  <c:v>1.4605118139153044E-5</c:v>
                </c:pt>
                <c:pt idx="32">
                  <c:v>2.0900477900450665E-5</c:v>
                </c:pt>
                <c:pt idx="33">
                  <c:v>2.9718567676442518E-5</c:v>
                </c:pt>
                <c:pt idx="34">
                  <c:v>4.1987502931617769E-5</c:v>
                </c:pt>
                <c:pt idx="35">
                  <c:v>5.8943067756540478E-5</c:v>
                </c:pt>
                <c:pt idx="36">
                  <c:v>8.221781653628687E-5</c:v>
                </c:pt>
                <c:pt idx="37">
                  <c:v>1.1395139806886584E-4</c:v>
                </c:pt>
                <c:pt idx="38">
                  <c:v>1.5692563406553394E-4</c:v>
                </c:pt>
                <c:pt idx="39">
                  <c:v>2.1472798150036932E-4</c:v>
                </c:pt>
                <c:pt idx="40">
                  <c:v>2.9194692579146342E-4</c:v>
                </c:pt>
                <c:pt idx="41">
                  <c:v>3.9440252496916083E-4</c:v>
                </c:pt>
                <c:pt idx="42">
                  <c:v>5.2941468309494082E-4</c:v>
                </c:pt>
                <c:pt idx="43">
                  <c:v>7.0611070048804379E-4</c:v>
                </c:pt>
                <c:pt idx="44">
                  <c:v>9.3577215692748964E-4</c:v>
                </c:pt>
                <c:pt idx="45">
                  <c:v>1.2322191684730329E-3</c:v>
                </c:pt>
                <c:pt idx="46">
                  <c:v>1.6122274719771418E-3</c:v>
                </c:pt>
                <c:pt idx="47">
                  <c:v>2.0959706128579657E-3</c:v>
                </c:pt>
                <c:pt idx="48">
                  <c:v>2.7074757568407311E-3</c:v>
                </c:pt>
                <c:pt idx="49">
                  <c:v>3.4750773778549752E-3</c:v>
                </c:pt>
                <c:pt idx="50">
                  <c:v>4.4318484119380544E-3</c:v>
                </c:pt>
                <c:pt idx="51">
                  <c:v>5.6159835959910236E-3</c:v>
                </c:pt>
                <c:pt idx="52">
                  <c:v>7.071104886019525E-3</c:v>
                </c:pt>
                <c:pt idx="53">
                  <c:v>8.8464543982373182E-3</c:v>
                </c:pt>
                <c:pt idx="54">
                  <c:v>1.0996936629405693E-2</c:v>
                </c:pt>
                <c:pt idx="55">
                  <c:v>1.3582969233685757E-2</c:v>
                </c:pt>
                <c:pt idx="56">
                  <c:v>1.6670100837381227E-2</c:v>
                </c:pt>
                <c:pt idx="57">
                  <c:v>2.0328355738226035E-2</c:v>
                </c:pt>
                <c:pt idx="58">
                  <c:v>2.4631269306382736E-2</c:v>
                </c:pt>
                <c:pt idx="59">
                  <c:v>2.9654584847341556E-2</c:v>
                </c:pt>
                <c:pt idx="60">
                  <c:v>3.5474592846231771E-2</c:v>
                </c:pt>
                <c:pt idx="61">
                  <c:v>4.2166106961770707E-2</c:v>
                </c:pt>
                <c:pt idx="62">
                  <c:v>4.9800087735071212E-2</c:v>
                </c:pt>
                <c:pt idx="63">
                  <c:v>5.8440944333451983E-2</c:v>
                </c:pt>
                <c:pt idx="64">
                  <c:v>6.8143566101045161E-2</c:v>
                </c:pt>
                <c:pt idx="65">
                  <c:v>7.8950158300894815E-2</c:v>
                </c:pt>
                <c:pt idx="66">
                  <c:v>9.0886979016283606E-2</c:v>
                </c:pt>
                <c:pt idx="67">
                  <c:v>0.103961095328765</c:v>
                </c:pt>
                <c:pt idx="68">
                  <c:v>0.11815729505958315</c:v>
                </c:pt>
                <c:pt idx="69">
                  <c:v>0.13343530395100325</c:v>
                </c:pt>
                <c:pt idx="70">
                  <c:v>0.1497274656357459</c:v>
                </c:pt>
                <c:pt idx="71">
                  <c:v>0.16693704174171495</c:v>
                </c:pt>
                <c:pt idx="72">
                  <c:v>0.18493728096330647</c:v>
                </c:pt>
                <c:pt idx="73">
                  <c:v>0.20357138829076069</c:v>
                </c:pt>
                <c:pt idx="74">
                  <c:v>0.22265349875176244</c:v>
                </c:pt>
                <c:pt idx="75">
                  <c:v>0.24197072451914464</c:v>
                </c:pt>
                <c:pt idx="76">
                  <c:v>0.26128630124955438</c:v>
                </c:pt>
                <c:pt idx="77">
                  <c:v>0.28034381083962179</c:v>
                </c:pt>
                <c:pt idx="78">
                  <c:v>0.29887240577595398</c:v>
                </c:pt>
                <c:pt idx="79">
                  <c:v>0.31659290771089388</c:v>
                </c:pt>
                <c:pt idx="80">
                  <c:v>0.33322460289180067</c:v>
                </c:pt>
                <c:pt idx="81">
                  <c:v>0.34849251275897541</c:v>
                </c:pt>
                <c:pt idx="82">
                  <c:v>0.36213488241309305</c:v>
                </c:pt>
                <c:pt idx="83">
                  <c:v>0.37391060537312909</c:v>
                </c:pt>
                <c:pt idx="84">
                  <c:v>0.38360629215347908</c:v>
                </c:pt>
                <c:pt idx="85">
                  <c:v>0.39104269397545627</c:v>
                </c:pt>
                <c:pt idx="86">
                  <c:v>0.39608021179365632</c:v>
                </c:pt>
                <c:pt idx="87">
                  <c:v>0.39862325420460509</c:v>
                </c:pt>
                <c:pt idx="88">
                  <c:v>0.39862325420460493</c:v>
                </c:pt>
                <c:pt idx="89">
                  <c:v>0.39608021179365582</c:v>
                </c:pt>
                <c:pt idx="90">
                  <c:v>0.39104269397545549</c:v>
                </c:pt>
                <c:pt idx="91">
                  <c:v>0.38360629215347797</c:v>
                </c:pt>
                <c:pt idx="92">
                  <c:v>0.3739106053731277</c:v>
                </c:pt>
                <c:pt idx="93">
                  <c:v>0.36213488241309144</c:v>
                </c:pt>
                <c:pt idx="94">
                  <c:v>0.34849251275897358</c:v>
                </c:pt>
                <c:pt idx="95">
                  <c:v>0.33322460289179862</c:v>
                </c:pt>
                <c:pt idx="96">
                  <c:v>0.31659290771089171</c:v>
                </c:pt>
                <c:pt idx="97">
                  <c:v>0.29887240577595164</c:v>
                </c:pt>
                <c:pt idx="98">
                  <c:v>0.2803438108396194</c:v>
                </c:pt>
                <c:pt idx="99">
                  <c:v>0.26128630124955199</c:v>
                </c:pt>
                <c:pt idx="100">
                  <c:v>0.24197072451914217</c:v>
                </c:pt>
                <c:pt idx="101">
                  <c:v>0.22265349875175994</c:v>
                </c:pt>
                <c:pt idx="102">
                  <c:v>0.20357138829075824</c:v>
                </c:pt>
                <c:pt idx="103">
                  <c:v>0.18493728096330411</c:v>
                </c:pt>
                <c:pt idx="104">
                  <c:v>0.16693704174171267</c:v>
                </c:pt>
                <c:pt idx="105">
                  <c:v>0.14972746563574377</c:v>
                </c:pt>
                <c:pt idx="106">
                  <c:v>0.13343530395100123</c:v>
                </c:pt>
                <c:pt idx="107">
                  <c:v>0.11815729505958129</c:v>
                </c:pt>
                <c:pt idx="108">
                  <c:v>0.10396109532876328</c:v>
                </c:pt>
                <c:pt idx="109">
                  <c:v>9.088697901628201E-2</c:v>
                </c:pt>
                <c:pt idx="110">
                  <c:v>7.8950158300893358E-2</c:v>
                </c:pt>
                <c:pt idx="111">
                  <c:v>6.8143566101043843E-2</c:v>
                </c:pt>
                <c:pt idx="112">
                  <c:v>5.844094433345081E-2</c:v>
                </c:pt>
                <c:pt idx="113">
                  <c:v>4.9800087735070171E-2</c:v>
                </c:pt>
                <c:pt idx="114">
                  <c:v>4.2166106961769804E-2</c:v>
                </c:pt>
                <c:pt idx="115">
                  <c:v>3.5474592846230966E-2</c:v>
                </c:pt>
                <c:pt idx="116">
                  <c:v>2.9654584847340858E-2</c:v>
                </c:pt>
                <c:pt idx="117">
                  <c:v>2.4631269306382146E-2</c:v>
                </c:pt>
                <c:pt idx="118">
                  <c:v>2.0328355738225532E-2</c:v>
                </c:pt>
                <c:pt idx="119">
                  <c:v>1.66701008373808E-2</c:v>
                </c:pt>
                <c:pt idx="120">
                  <c:v>1.3582969233685398E-2</c:v>
                </c:pt>
                <c:pt idx="121">
                  <c:v>1.0996936629405391E-2</c:v>
                </c:pt>
                <c:pt idx="122">
                  <c:v>8.846454398237065E-3</c:v>
                </c:pt>
                <c:pt idx="123">
                  <c:v>7.0711048860193169E-3</c:v>
                </c:pt>
                <c:pt idx="124">
                  <c:v>5.6159835959908588E-3</c:v>
                </c:pt>
                <c:pt idx="125">
                  <c:v>4.4318484119379208E-3</c:v>
                </c:pt>
                <c:pt idx="126">
                  <c:v>3.4750773778548637E-3</c:v>
                </c:pt>
                <c:pt idx="127">
                  <c:v>2.7074757568406448E-3</c:v>
                </c:pt>
                <c:pt idx="128">
                  <c:v>2.0959706128578972E-3</c:v>
                </c:pt>
                <c:pt idx="129">
                  <c:v>1.6122274719770873E-3</c:v>
                </c:pt>
                <c:pt idx="130">
                  <c:v>1.2322191684729894E-3</c:v>
                </c:pt>
                <c:pt idx="131">
                  <c:v>9.3577215692745635E-4</c:v>
                </c:pt>
                <c:pt idx="132">
                  <c:v>7.0611070048801864E-4</c:v>
                </c:pt>
                <c:pt idx="133">
                  <c:v>5.2941468309492098E-4</c:v>
                </c:pt>
                <c:pt idx="134">
                  <c:v>3.9440252496914576E-4</c:v>
                </c:pt>
                <c:pt idx="135">
                  <c:v>2.9194692579145198E-4</c:v>
                </c:pt>
                <c:pt idx="136">
                  <c:v>2.1472798150036073E-4</c:v>
                </c:pt>
                <c:pt idx="137">
                  <c:v>1.5692563406552752E-4</c:v>
                </c:pt>
                <c:pt idx="138">
                  <c:v>1.1395139806886138E-4</c:v>
                </c:pt>
                <c:pt idx="139">
                  <c:v>8.2217816536283509E-5</c:v>
                </c:pt>
                <c:pt idx="140">
                  <c:v>5.8943067756538066E-5</c:v>
                </c:pt>
                <c:pt idx="141">
                  <c:v>4.198750293161598E-5</c:v>
                </c:pt>
                <c:pt idx="142">
                  <c:v>2.971856767644125E-5</c:v>
                </c:pt>
                <c:pt idx="143">
                  <c:v>2.090047790044974E-5</c:v>
                </c:pt>
                <c:pt idx="144">
                  <c:v>1.4605118139152395E-5</c:v>
                </c:pt>
                <c:pt idx="145">
                  <c:v>1.0140852065486381E-5</c:v>
                </c:pt>
                <c:pt idx="146">
                  <c:v>6.9962341432701441E-6</c:v>
                </c:pt>
                <c:pt idx="147">
                  <c:v>4.7959510215523421E-6</c:v>
                </c:pt>
                <c:pt idx="148">
                  <c:v>3.2666729639931473E-6</c:v>
                </c:pt>
                <c:pt idx="149">
                  <c:v>2.2108388745683348E-6</c:v>
                </c:pt>
                <c:pt idx="150">
                  <c:v>1.4867195147342397E-6</c:v>
                </c:pt>
                <c:pt idx="151">
                  <c:v>9.9339394133987137E-7</c:v>
                </c:pt>
                <c:pt idx="152">
                  <c:v>6.5952989685749467E-7</c:v>
                </c:pt>
                <c:pt idx="153">
                  <c:v>4.3507886075149313E-7</c:v>
                </c:pt>
                <c:pt idx="154">
                  <c:v>2.8518192322838544E-7</c:v>
                </c:pt>
                <c:pt idx="155">
                  <c:v>1.8573618445552105E-7</c:v>
                </c:pt>
                <c:pt idx="156">
                  <c:v>1.2019642790627696E-7</c:v>
                </c:pt>
                <c:pt idx="157">
                  <c:v>7.7287118885225359E-8</c:v>
                </c:pt>
                <c:pt idx="158">
                  <c:v>4.9379102271102028E-8</c:v>
                </c:pt>
                <c:pt idx="159">
                  <c:v>3.1347273817918122E-8</c:v>
                </c:pt>
                <c:pt idx="160">
                  <c:v>1.9773196406243689E-8</c:v>
                </c:pt>
                <c:pt idx="161">
                  <c:v>1.2392944314149468E-8</c:v>
                </c:pt>
                <c:pt idx="162">
                  <c:v>7.7177842125701169E-9</c:v>
                </c:pt>
                <c:pt idx="163">
                  <c:v>4.7756366922820211E-9</c:v>
                </c:pt>
                <c:pt idx="164">
                  <c:v>2.9362325198237642E-9</c:v>
                </c:pt>
                <c:pt idx="165">
                  <c:v>1.7937839079639841E-9</c:v>
                </c:pt>
                <c:pt idx="166">
                  <c:v>1.088855673277002E-9</c:v>
                </c:pt>
                <c:pt idx="167">
                  <c:v>6.5673630963607057E-10</c:v>
                </c:pt>
                <c:pt idx="168">
                  <c:v>3.935793040901202E-10</c:v>
                </c:pt>
                <c:pt idx="169">
                  <c:v>2.3436566877930577E-10</c:v>
                </c:pt>
                <c:pt idx="170">
                  <c:v>1.3866799941652283E-10</c:v>
                </c:pt>
                <c:pt idx="171">
                  <c:v>8.152278752699543E-11</c:v>
                </c:pt>
                <c:pt idx="172">
                  <c:v>4.7621416319153522E-11</c:v>
                </c:pt>
                <c:pt idx="173">
                  <c:v>2.7640513661677676E-11</c:v>
                </c:pt>
                <c:pt idx="174">
                  <c:v>1.594081151588281E-11</c:v>
                </c:pt>
                <c:pt idx="175">
                  <c:v>9.1347204083639765E-12</c:v>
                </c:pt>
                <c:pt idx="176">
                  <c:v>5.20116470752682E-12</c:v>
                </c:pt>
                <c:pt idx="177">
                  <c:v>2.9425677446964943E-12</c:v>
                </c:pt>
                <c:pt idx="178">
                  <c:v>1.6541422271609854E-12</c:v>
                </c:pt>
                <c:pt idx="179">
                  <c:v>9.2393143256359462E-13</c:v>
                </c:pt>
                <c:pt idx="180">
                  <c:v>5.1277536367962984E-13</c:v>
                </c:pt>
                <c:pt idx="181">
                  <c:v>2.8277113542206153E-13</c:v>
                </c:pt>
                <c:pt idx="182">
                  <c:v>1.5493998706284821E-13</c:v>
                </c:pt>
                <c:pt idx="183">
                  <c:v>8.4355318664098694E-14</c:v>
                </c:pt>
                <c:pt idx="184">
                  <c:v>4.5633306778375222E-14</c:v>
                </c:pt>
                <c:pt idx="185">
                  <c:v>2.4528552856962235E-14</c:v>
                </c:pt>
                <c:pt idx="186">
                  <c:v>1.3100335776937822E-14</c:v>
                </c:pt>
                <c:pt idx="187">
                  <c:v>6.9520589097098071E-15</c:v>
                </c:pt>
                <c:pt idx="188">
                  <c:v>3.6657679945909811E-15</c:v>
                </c:pt>
                <c:pt idx="189">
                  <c:v>1.9206004311443907E-15</c:v>
                </c:pt>
                <c:pt idx="190">
                  <c:v>9.9983787484963254E-16</c:v>
                </c:pt>
                <c:pt idx="191">
                  <c:v>5.1718111933301017E-16</c:v>
                </c:pt>
                <c:pt idx="192">
                  <c:v>2.6581302303291584E-16</c:v>
                </c:pt>
                <c:pt idx="193">
                  <c:v>1.357470382217088E-16</c:v>
                </c:pt>
                <c:pt idx="194">
                  <c:v>6.8881879111195821E-17</c:v>
                </c:pt>
                <c:pt idx="195">
                  <c:v>3.4729627485658871E-17</c:v>
                </c:pt>
                <c:pt idx="196">
                  <c:v>1.7398659111404616E-17</c:v>
                </c:pt>
                <c:pt idx="197">
                  <c:v>8.6606791274923575E-18</c:v>
                </c:pt>
                <c:pt idx="198">
                  <c:v>4.2835972719622515E-18</c:v>
                </c:pt>
                <c:pt idx="199">
                  <c:v>2.1051635091806506E-18</c:v>
                </c:pt>
                <c:pt idx="200">
                  <c:v>1.0279773571668917E-18</c:v>
                </c:pt>
              </c:numCache>
            </c:numRef>
          </c:yVal>
          <c:smooth val="0"/>
          <c:extLst>
            <c:ext xmlns:c16="http://schemas.microsoft.com/office/drawing/2014/chart" uri="{C3380CC4-5D6E-409C-BE32-E72D297353CC}">
              <c16:uniqueId val="{00000000-5991-4931-B5FA-7C11B00E1CEC}"/>
            </c:ext>
          </c:extLst>
        </c:ser>
        <c:ser>
          <c:idx val="1"/>
          <c:order val="1"/>
          <c:tx>
            <c:strRef>
              <c:f>'2WS'!$D$14</c:f>
              <c:strCache>
                <c:ptCount val="1"/>
                <c:pt idx="0">
                  <c:v>Asset B</c:v>
                </c:pt>
              </c:strCache>
            </c:strRef>
          </c:tx>
          <c:spPr>
            <a:ln w="12700" cap="rnd">
              <a:solidFill>
                <a:srgbClr val="E6BE8A"/>
              </a:solidFill>
              <a:round/>
            </a:ln>
            <a:effectLst/>
          </c:spPr>
          <c:marker>
            <c:symbol val="none"/>
          </c:marker>
          <c:xVal>
            <c:numRef>
              <c:f>'2WS'!$B$15:$B$215</c:f>
              <c:numCache>
                <c:formatCode>General</c:formatCode>
                <c:ptCount val="201"/>
                <c:pt idx="0" formatCode="0.0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formatCode="0.00">
                  <c:v>9</c:v>
                </c:pt>
              </c:numCache>
            </c:numRef>
          </c:xVal>
          <c:yVal>
            <c:numRef>
              <c:f>'2WS'!$D$15:$D$215</c:f>
              <c:numCache>
                <c:formatCode>0.0000</c:formatCode>
                <c:ptCount val="201"/>
                <c:pt idx="0">
                  <c:v>6.6915112882442684E-5</c:v>
                </c:pt>
                <c:pt idx="1">
                  <c:v>7.8462817032766131E-5</c:v>
                </c:pt>
                <c:pt idx="2">
                  <c:v>9.1856249001228554E-5</c:v>
                </c:pt>
                <c:pt idx="3">
                  <c:v>1.0736399075018352E-4</c:v>
                </c:pt>
                <c:pt idx="4">
                  <c:v>1.2528922244543037E-4</c:v>
                </c:pt>
                <c:pt idx="5">
                  <c:v>1.4597346289573014E-4</c:v>
                </c:pt>
                <c:pt idx="6">
                  <c:v>1.6980060624182739E-4</c:v>
                </c:pt>
                <c:pt idx="7">
                  <c:v>1.9720126248457846E-4</c:v>
                </c:pt>
                <c:pt idx="8">
                  <c:v>2.2865740702992881E-4</c:v>
                </c:pt>
                <c:pt idx="9">
                  <c:v>2.6470734154746781E-4</c:v>
                </c:pt>
                <c:pt idx="10">
                  <c:v>3.0595096505688649E-4</c:v>
                </c:pt>
                <c:pt idx="11">
                  <c:v>3.5305535024401875E-4</c:v>
                </c:pt>
                <c:pt idx="12">
                  <c:v>4.0676061554090459E-4</c:v>
                </c:pt>
                <c:pt idx="13">
                  <c:v>4.6788607846374064E-4</c:v>
                </c:pt>
                <c:pt idx="14">
                  <c:v>5.3733667007686836E-4</c:v>
                </c:pt>
                <c:pt idx="15">
                  <c:v>6.1610958423651051E-4</c:v>
                </c:pt>
                <c:pt idx="16">
                  <c:v>7.0530112847069304E-4</c:v>
                </c:pt>
                <c:pt idx="17">
                  <c:v>8.0611373598856373E-4</c:v>
                </c:pt>
                <c:pt idx="18">
                  <c:v>9.1986309041214125E-4</c:v>
                </c:pt>
                <c:pt idx="19">
                  <c:v>1.0479853064289746E-3</c:v>
                </c:pt>
                <c:pt idx="20">
                  <c:v>1.1920441007324243E-3</c:v>
                </c:pt>
                <c:pt idx="21">
                  <c:v>1.3537378784203549E-3</c:v>
                </c:pt>
                <c:pt idx="22">
                  <c:v>1.5349066505523743E-3</c:v>
                </c:pt>
                <c:pt idx="23">
                  <c:v>1.7375386889274737E-3</c:v>
                </c:pt>
                <c:pt idx="24">
                  <c:v>1.9637768144623946E-3</c:v>
                </c:pt>
                <c:pt idx="25">
                  <c:v>2.2159242059690094E-3</c:v>
                </c:pt>
                <c:pt idx="26">
                  <c:v>2.4964496068061947E-3</c:v>
                </c:pt>
                <c:pt idx="27">
                  <c:v>2.8079917979954919E-3</c:v>
                </c:pt>
                <c:pt idx="28">
                  <c:v>3.1533631981329724E-3</c:v>
                </c:pt>
                <c:pt idx="29">
                  <c:v>3.5355524430097339E-3</c:v>
                </c:pt>
                <c:pt idx="30">
                  <c:v>3.9577257914899947E-3</c:v>
                </c:pt>
                <c:pt idx="31">
                  <c:v>4.4232271991186253E-3</c:v>
                </c:pt>
                <c:pt idx="32">
                  <c:v>4.935576897375585E-3</c:v>
                </c:pt>
                <c:pt idx="33">
                  <c:v>5.4984683147028058E-3</c:v>
                </c:pt>
                <c:pt idx="34">
                  <c:v>6.1157631756390066E-3</c:v>
                </c:pt>
                <c:pt idx="35">
                  <c:v>6.7914846168428307E-3</c:v>
                </c:pt>
                <c:pt idx="36">
                  <c:v>7.5298081636887525E-3</c:v>
                </c:pt>
                <c:pt idx="37">
                  <c:v>8.335050418690558E-3</c:v>
                </c:pt>
                <c:pt idx="38">
                  <c:v>9.2116553234310571E-3</c:v>
                </c:pt>
                <c:pt idx="39">
                  <c:v>1.016417786911295E-2</c:v>
                </c:pt>
                <c:pt idx="40">
                  <c:v>1.1197265147421484E-2</c:v>
                </c:pt>
                <c:pt idx="41">
                  <c:v>1.2315634653191292E-2</c:v>
                </c:pt>
                <c:pt idx="42">
                  <c:v>1.3524049773440936E-2</c:v>
                </c:pt>
                <c:pt idx="43">
                  <c:v>1.4827292423670686E-2</c:v>
                </c:pt>
                <c:pt idx="44">
                  <c:v>1.6230132821848785E-2</c:v>
                </c:pt>
                <c:pt idx="45">
                  <c:v>1.7737296423115785E-2</c:v>
                </c:pt>
                <c:pt idx="46">
                  <c:v>1.9353428073727873E-2</c:v>
                </c:pt>
                <c:pt idx="47">
                  <c:v>2.1083053480885239E-2</c:v>
                </c:pt>
                <c:pt idx="48">
                  <c:v>2.2930538135527537E-2</c:v>
                </c:pt>
                <c:pt idx="49">
                  <c:v>2.4900043867535474E-2</c:v>
                </c:pt>
                <c:pt idx="50">
                  <c:v>2.6995483256594125E-2</c:v>
                </c:pt>
                <c:pt idx="51">
                  <c:v>2.9220472166725835E-2</c:v>
                </c:pt>
                <c:pt idx="52">
                  <c:v>3.1578280717599438E-2</c:v>
                </c:pt>
                <c:pt idx="53">
                  <c:v>3.40717830505224E-2</c:v>
                </c:pt>
                <c:pt idx="54">
                  <c:v>3.670340629082857E-2</c:v>
                </c:pt>
                <c:pt idx="55">
                  <c:v>3.9475079150447213E-2</c:v>
                </c:pt>
                <c:pt idx="56">
                  <c:v>4.2388180654011266E-2</c:v>
                </c:pt>
                <c:pt idx="57">
                  <c:v>4.5443489508141588E-2</c:v>
                </c:pt>
                <c:pt idx="58">
                  <c:v>4.8641134665733922E-2</c:v>
                </c:pt>
                <c:pt idx="59">
                  <c:v>5.1980547664382273E-2</c:v>
                </c:pt>
                <c:pt idx="60">
                  <c:v>5.5460417339727959E-2</c:v>
                </c:pt>
                <c:pt idx="61">
                  <c:v>5.9078647529791348E-2</c:v>
                </c:pt>
                <c:pt idx="62">
                  <c:v>6.2832318394544284E-2</c:v>
                </c:pt>
                <c:pt idx="63">
                  <c:v>6.6717651975501377E-2</c:v>
                </c:pt>
                <c:pt idx="64">
                  <c:v>7.0729982612419612E-2</c:v>
                </c:pt>
                <c:pt idx="65">
                  <c:v>7.4863732817872675E-2</c:v>
                </c:pt>
                <c:pt idx="66">
                  <c:v>7.9112395185191767E-2</c:v>
                </c:pt>
                <c:pt idx="67">
                  <c:v>8.3468520870857169E-2</c:v>
                </c:pt>
                <c:pt idx="68">
                  <c:v>8.7923715148831447E-2</c:v>
                </c:pt>
                <c:pt idx="69">
                  <c:v>9.2468640481652931E-2</c:v>
                </c:pt>
                <c:pt idx="70">
                  <c:v>9.7093027491606768E-2</c:v>
                </c:pt>
                <c:pt idx="71">
                  <c:v>0.10178569414538001</c:v>
                </c:pt>
                <c:pt idx="72">
                  <c:v>0.10653457338785925</c:v>
                </c:pt>
                <c:pt idx="73">
                  <c:v>0.11132674937588088</c:v>
                </c:pt>
                <c:pt idx="74">
                  <c:v>0.11614850237168342</c:v>
                </c:pt>
                <c:pt idx="75">
                  <c:v>0.12098536225957202</c:v>
                </c:pt>
                <c:pt idx="76">
                  <c:v>0.12582217054905886</c:v>
                </c:pt>
                <c:pt idx="77">
                  <c:v>0.13064315062477685</c:v>
                </c:pt>
                <c:pt idx="78">
                  <c:v>0.13543198589916933</c:v>
                </c:pt>
                <c:pt idx="79">
                  <c:v>0.14017190541981059</c:v>
                </c:pt>
                <c:pt idx="80">
                  <c:v>0.14484577638074167</c:v>
                </c:pt>
                <c:pt idx="81">
                  <c:v>0.14943620288797665</c:v>
                </c:pt>
                <c:pt idx="82">
                  <c:v>0.15392563023492675</c:v>
                </c:pt>
                <c:pt idx="83">
                  <c:v>0.15829645385544666</c:v>
                </c:pt>
                <c:pt idx="84">
                  <c:v>0.16253113204204134</c:v>
                </c:pt>
                <c:pt idx="85">
                  <c:v>0.16661230144590009</c:v>
                </c:pt>
                <c:pt idx="86">
                  <c:v>0.17052289431517653</c:v>
                </c:pt>
                <c:pt idx="87">
                  <c:v>0.17424625637948749</c:v>
                </c:pt>
                <c:pt idx="88">
                  <c:v>0.17776626425299877</c:v>
                </c:pt>
                <c:pt idx="89">
                  <c:v>0.1810674412065463</c:v>
                </c:pt>
                <c:pt idx="90">
                  <c:v>0.18413507015166186</c:v>
                </c:pt>
                <c:pt idx="91">
                  <c:v>0.18695530268656435</c:v>
                </c:pt>
                <c:pt idx="92">
                  <c:v>0.189515263076351</c:v>
                </c:pt>
                <c:pt idx="93">
                  <c:v>0.1918031460767394</c:v>
                </c:pt>
                <c:pt idx="94">
                  <c:v>0.19380830756250719</c:v>
                </c:pt>
                <c:pt idx="95">
                  <c:v>0.19552134698772805</c:v>
                </c:pt>
                <c:pt idx="96">
                  <c:v>0.1969341807842705</c:v>
                </c:pt>
                <c:pt idx="97">
                  <c:v>0.19804010589682811</c:v>
                </c:pt>
                <c:pt idx="98">
                  <c:v>0.19883385275580448</c:v>
                </c:pt>
                <c:pt idx="99">
                  <c:v>0.19931162710230252</c:v>
                </c:pt>
                <c:pt idx="100">
                  <c:v>0.19947114020071635</c:v>
                </c:pt>
                <c:pt idx="101">
                  <c:v>0.19931162710230249</c:v>
                </c:pt>
                <c:pt idx="102">
                  <c:v>0.19883385275580442</c:v>
                </c:pt>
                <c:pt idx="103">
                  <c:v>0.19804010589682799</c:v>
                </c:pt>
                <c:pt idx="104">
                  <c:v>0.19693418078427033</c:v>
                </c:pt>
                <c:pt idx="105">
                  <c:v>0.19552134698772786</c:v>
                </c:pt>
                <c:pt idx="106">
                  <c:v>0.19380830756250694</c:v>
                </c:pt>
                <c:pt idx="107">
                  <c:v>0.19180314607673912</c:v>
                </c:pt>
                <c:pt idx="108">
                  <c:v>0.18951526307635069</c:v>
                </c:pt>
                <c:pt idx="109">
                  <c:v>0.18695530268656402</c:v>
                </c:pt>
                <c:pt idx="110">
                  <c:v>0.18413507015166147</c:v>
                </c:pt>
                <c:pt idx="111">
                  <c:v>0.18106744120654589</c:v>
                </c:pt>
                <c:pt idx="112">
                  <c:v>0.1777662642529983</c:v>
                </c:pt>
                <c:pt idx="113">
                  <c:v>0.17424625637948701</c:v>
                </c:pt>
                <c:pt idx="114">
                  <c:v>0.170522894315176</c:v>
                </c:pt>
                <c:pt idx="115">
                  <c:v>0.16661230144589953</c:v>
                </c:pt>
                <c:pt idx="116">
                  <c:v>0.16253113204204075</c:v>
                </c:pt>
                <c:pt idx="117">
                  <c:v>0.15829645385544608</c:v>
                </c:pt>
                <c:pt idx="118">
                  <c:v>0.15392563023492611</c:v>
                </c:pt>
                <c:pt idx="119">
                  <c:v>0.14943620288797602</c:v>
                </c:pt>
                <c:pt idx="120">
                  <c:v>0.144845776380741</c:v>
                </c:pt>
                <c:pt idx="121">
                  <c:v>0.14017190541980989</c:v>
                </c:pt>
                <c:pt idx="122">
                  <c:v>0.13543198589916863</c:v>
                </c:pt>
                <c:pt idx="123">
                  <c:v>0.13064315062477619</c:v>
                </c:pt>
                <c:pt idx="124">
                  <c:v>0.12582217054905817</c:v>
                </c:pt>
                <c:pt idx="125">
                  <c:v>0.12098536225957128</c:v>
                </c:pt>
                <c:pt idx="126">
                  <c:v>0.1161485023716827</c:v>
                </c:pt>
                <c:pt idx="127">
                  <c:v>0.11132674937588015</c:v>
                </c:pt>
                <c:pt idx="128">
                  <c:v>0.10653457338785852</c:v>
                </c:pt>
                <c:pt idx="129">
                  <c:v>0.1017856941453793</c:v>
                </c:pt>
                <c:pt idx="130">
                  <c:v>9.7093027491606074E-2</c:v>
                </c:pt>
                <c:pt idx="131">
                  <c:v>9.2468640481652251E-2</c:v>
                </c:pt>
                <c:pt idx="132">
                  <c:v>8.7923715148830781E-2</c:v>
                </c:pt>
                <c:pt idx="133">
                  <c:v>8.3468520870856516E-2</c:v>
                </c:pt>
                <c:pt idx="134">
                  <c:v>7.9112395185191128E-2</c:v>
                </c:pt>
                <c:pt idx="135">
                  <c:v>7.4863732817872036E-2</c:v>
                </c:pt>
                <c:pt idx="136">
                  <c:v>7.0729982612419015E-2</c:v>
                </c:pt>
                <c:pt idx="137">
                  <c:v>6.671765197550078E-2</c:v>
                </c:pt>
                <c:pt idx="138">
                  <c:v>6.2832318394543743E-2</c:v>
                </c:pt>
                <c:pt idx="139">
                  <c:v>5.90786475297908E-2</c:v>
                </c:pt>
                <c:pt idx="140">
                  <c:v>5.5460417339727459E-2</c:v>
                </c:pt>
                <c:pt idx="141">
                  <c:v>5.1980547664381788E-2</c:v>
                </c:pt>
                <c:pt idx="142">
                  <c:v>4.864113466573345E-2</c:v>
                </c:pt>
                <c:pt idx="143">
                  <c:v>4.544348950814113E-2</c:v>
                </c:pt>
                <c:pt idx="144">
                  <c:v>4.2388180654010836E-2</c:v>
                </c:pt>
                <c:pt idx="145">
                  <c:v>3.9475079150446818E-2</c:v>
                </c:pt>
                <c:pt idx="146">
                  <c:v>3.6703406290828182E-2</c:v>
                </c:pt>
                <c:pt idx="147">
                  <c:v>3.4071783050522046E-2</c:v>
                </c:pt>
                <c:pt idx="148">
                  <c:v>3.1578280717599091E-2</c:v>
                </c:pt>
                <c:pt idx="149">
                  <c:v>2.9220472166725502E-2</c:v>
                </c:pt>
                <c:pt idx="150">
                  <c:v>2.6995483256593813E-2</c:v>
                </c:pt>
                <c:pt idx="151">
                  <c:v>2.4900043867535176E-2</c:v>
                </c:pt>
                <c:pt idx="152">
                  <c:v>2.2930538135527249E-2</c:v>
                </c:pt>
                <c:pt idx="153">
                  <c:v>2.1083053480884975E-2</c:v>
                </c:pt>
                <c:pt idx="154">
                  <c:v>1.9353428073727631E-2</c:v>
                </c:pt>
                <c:pt idx="155">
                  <c:v>1.7737296423115553E-2</c:v>
                </c:pt>
                <c:pt idx="156">
                  <c:v>1.6230132821848577E-2</c:v>
                </c:pt>
                <c:pt idx="157">
                  <c:v>1.4827292423670495E-2</c:v>
                </c:pt>
                <c:pt idx="158">
                  <c:v>1.3524049773440756E-2</c:v>
                </c:pt>
                <c:pt idx="159">
                  <c:v>1.2315634653191122E-2</c:v>
                </c:pt>
                <c:pt idx="160">
                  <c:v>1.119726514742133E-2</c:v>
                </c:pt>
                <c:pt idx="161">
                  <c:v>1.0164177869112809E-2</c:v>
                </c:pt>
                <c:pt idx="162">
                  <c:v>9.2116553234309253E-3</c:v>
                </c:pt>
                <c:pt idx="163">
                  <c:v>8.3350504186904349E-3</c:v>
                </c:pt>
                <c:pt idx="164">
                  <c:v>7.5298081636886388E-3</c:v>
                </c:pt>
                <c:pt idx="165">
                  <c:v>6.7914846168427275E-3</c:v>
                </c:pt>
                <c:pt idx="166">
                  <c:v>6.1157631756389146E-3</c:v>
                </c:pt>
                <c:pt idx="167">
                  <c:v>5.4984683147027225E-3</c:v>
                </c:pt>
                <c:pt idx="168">
                  <c:v>4.9355768973755069E-3</c:v>
                </c:pt>
                <c:pt idx="169">
                  <c:v>4.423227199118555E-3</c:v>
                </c:pt>
                <c:pt idx="170">
                  <c:v>3.9577257914899296E-3</c:v>
                </c:pt>
                <c:pt idx="171">
                  <c:v>3.5355524430096771E-3</c:v>
                </c:pt>
                <c:pt idx="172">
                  <c:v>3.1533631981329191E-3</c:v>
                </c:pt>
                <c:pt idx="173">
                  <c:v>2.8079917979954446E-3</c:v>
                </c:pt>
                <c:pt idx="174">
                  <c:v>2.4964496068061526E-3</c:v>
                </c:pt>
                <c:pt idx="175">
                  <c:v>2.2159242059689721E-3</c:v>
                </c:pt>
                <c:pt idx="176">
                  <c:v>1.9637768144623599E-3</c:v>
                </c:pt>
                <c:pt idx="177">
                  <c:v>1.7375386889274429E-3</c:v>
                </c:pt>
                <c:pt idx="178">
                  <c:v>1.534906650552347E-3</c:v>
                </c:pt>
                <c:pt idx="179">
                  <c:v>1.3537378784203296E-3</c:v>
                </c:pt>
                <c:pt idx="180">
                  <c:v>1.1920441007324022E-3</c:v>
                </c:pt>
                <c:pt idx="181">
                  <c:v>1.0479853064289551E-3</c:v>
                </c:pt>
                <c:pt idx="182">
                  <c:v>9.1986309041212412E-4</c:v>
                </c:pt>
                <c:pt idx="183">
                  <c:v>8.06113735988548E-4</c:v>
                </c:pt>
                <c:pt idx="184">
                  <c:v>7.0530112847067927E-4</c:v>
                </c:pt>
                <c:pt idx="185">
                  <c:v>6.1610958423649847E-4</c:v>
                </c:pt>
                <c:pt idx="186">
                  <c:v>5.3733667007685774E-4</c:v>
                </c:pt>
                <c:pt idx="187">
                  <c:v>4.6788607846373116E-4</c:v>
                </c:pt>
                <c:pt idx="188">
                  <c:v>4.0676061554089694E-4</c:v>
                </c:pt>
                <c:pt idx="189">
                  <c:v>3.5305535024401181E-4</c:v>
                </c:pt>
                <c:pt idx="190">
                  <c:v>3.0595096505688053E-4</c:v>
                </c:pt>
                <c:pt idx="191">
                  <c:v>2.6470734154746266E-4</c:v>
                </c:pt>
                <c:pt idx="192">
                  <c:v>2.2865740702992415E-4</c:v>
                </c:pt>
                <c:pt idx="193">
                  <c:v>1.9720126248457461E-4</c:v>
                </c:pt>
                <c:pt idx="194">
                  <c:v>1.6980060624182408E-4</c:v>
                </c:pt>
                <c:pt idx="195">
                  <c:v>1.4597346289572729E-4</c:v>
                </c:pt>
                <c:pt idx="196">
                  <c:v>1.2528922244542783E-4</c:v>
                </c:pt>
                <c:pt idx="197">
                  <c:v>1.0736399075018131E-4</c:v>
                </c:pt>
                <c:pt idx="198">
                  <c:v>9.1856249001226589E-5</c:v>
                </c:pt>
                <c:pt idx="199">
                  <c:v>7.8462817032764451E-5</c:v>
                </c:pt>
                <c:pt idx="200">
                  <c:v>6.6915112882442684E-5</c:v>
                </c:pt>
              </c:numCache>
            </c:numRef>
          </c:yVal>
          <c:smooth val="0"/>
          <c:extLst>
            <c:ext xmlns:c16="http://schemas.microsoft.com/office/drawing/2014/chart" uri="{C3380CC4-5D6E-409C-BE32-E72D297353CC}">
              <c16:uniqueId val="{00000001-5991-4931-B5FA-7C11B00E1CEC}"/>
            </c:ext>
          </c:extLst>
        </c:ser>
        <c:ser>
          <c:idx val="2"/>
          <c:order val="2"/>
          <c:tx>
            <c:strRef>
              <c:f>'2WS'!$E$14</c:f>
              <c:strCache>
                <c:ptCount val="1"/>
                <c:pt idx="0">
                  <c:v>Portfolio</c:v>
                </c:pt>
              </c:strCache>
            </c:strRef>
          </c:tx>
          <c:spPr>
            <a:ln w="19050" cap="rnd">
              <a:solidFill>
                <a:srgbClr val="707070"/>
              </a:solidFill>
              <a:round/>
            </a:ln>
            <a:effectLst/>
          </c:spPr>
          <c:marker>
            <c:symbol val="none"/>
          </c:marker>
          <c:xVal>
            <c:numRef>
              <c:f>'2WS'!$B$15:$B$215</c:f>
              <c:numCache>
                <c:formatCode>General</c:formatCode>
                <c:ptCount val="201"/>
                <c:pt idx="0" formatCode="0.0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formatCode="0.00">
                  <c:v>9</c:v>
                </c:pt>
              </c:numCache>
            </c:numRef>
          </c:xVal>
          <c:yVal>
            <c:numRef>
              <c:f>'2WS'!$E$15:$E$215</c:f>
              <c:numCache>
                <c:formatCode>0.0000</c:formatCode>
                <c:ptCount val="201"/>
              </c:numCache>
            </c:numRef>
          </c:yVal>
          <c:smooth val="0"/>
          <c:extLst>
            <c:ext xmlns:c16="http://schemas.microsoft.com/office/drawing/2014/chart" uri="{C3380CC4-5D6E-409C-BE32-E72D297353CC}">
              <c16:uniqueId val="{00000002-5991-4931-B5FA-7C11B00E1CEC}"/>
            </c:ext>
          </c:extLst>
        </c:ser>
        <c:dLbls>
          <c:showLegendKey val="0"/>
          <c:showVal val="0"/>
          <c:showCatName val="0"/>
          <c:showSerName val="0"/>
          <c:showPercent val="0"/>
          <c:showBubbleSize val="0"/>
        </c:dLbls>
        <c:axId val="926866128"/>
        <c:axId val="926864816"/>
      </c:scatterChart>
      <c:valAx>
        <c:axId val="926866128"/>
        <c:scaling>
          <c:orientation val="minMax"/>
          <c:max val="8"/>
          <c:min val="-6"/>
        </c:scaling>
        <c:delete val="0"/>
        <c:axPos val="b"/>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4816"/>
        <c:crosses val="autoZero"/>
        <c:crossBetween val="midCat"/>
      </c:valAx>
      <c:valAx>
        <c:axId val="926864816"/>
        <c:scaling>
          <c:orientation val="minMax"/>
        </c:scaling>
        <c:delete val="1"/>
        <c:axPos val="l"/>
        <c:numFmt formatCode="0.0000" sourceLinked="1"/>
        <c:majorTickMark val="none"/>
        <c:minorTickMark val="none"/>
        <c:tickLblPos val="none"/>
        <c:crossAx val="926866128"/>
        <c:crosses val="autoZero"/>
        <c:crossBetween val="midCat"/>
      </c:valAx>
      <c:spPr>
        <a:noFill/>
        <a:ln>
          <a:noFill/>
        </a:ln>
        <a:effectLst/>
      </c:spPr>
    </c:plotArea>
    <c:legend>
      <c:legendPos val="b"/>
      <c:layout>
        <c:manualLayout>
          <c:xMode val="edge"/>
          <c:yMode val="edge"/>
          <c:x val="0.20152775639887124"/>
          <c:y val="0.91578153769410864"/>
          <c:w val="0.67469634716713045"/>
          <c:h val="6.081121917820269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60681841765166E-2"/>
          <c:y val="6.3238351321407676E-2"/>
          <c:w val="0.94142944438679621"/>
          <c:h val="0.90062544792350219"/>
        </c:manualLayout>
      </c:layout>
      <c:barChart>
        <c:barDir val="col"/>
        <c:grouping val="clustered"/>
        <c:varyColors val="0"/>
        <c:ser>
          <c:idx val="0"/>
          <c:order val="0"/>
          <c:spPr>
            <a:solidFill>
              <a:srgbClr val="548BE9"/>
            </a:solidFill>
            <a:ln>
              <a:noFill/>
            </a:ln>
            <a:effectLst/>
          </c:spPr>
          <c:invertIfNegative val="0"/>
          <c:cat>
            <c:numRef>
              <c:f>'3WS'!$H$6:$H$19</c:f>
              <c:numCache>
                <c:formatCode>General</c:formatCode>
                <c:ptCount val="14"/>
              </c:numCache>
            </c:numRef>
          </c:cat>
          <c:val>
            <c:numRef>
              <c:f>'3WS'!$I$6:$I$19</c:f>
              <c:numCache>
                <c:formatCode>General</c:formatCode>
                <c:ptCount val="14"/>
              </c:numCache>
            </c:numRef>
          </c:val>
          <c:extLst>
            <c:ext xmlns:c16="http://schemas.microsoft.com/office/drawing/2014/chart" uri="{C3380CC4-5D6E-409C-BE32-E72D297353CC}">
              <c16:uniqueId val="{00000000-AD1B-4FE8-8487-F442DF7C8F68}"/>
            </c:ext>
          </c:extLst>
        </c:ser>
        <c:dLbls>
          <c:showLegendKey val="0"/>
          <c:showVal val="0"/>
          <c:showCatName val="0"/>
          <c:showSerName val="0"/>
          <c:showPercent val="0"/>
          <c:showBubbleSize val="0"/>
        </c:dLbls>
        <c:gapWidth val="0"/>
        <c:axId val="975788160"/>
        <c:axId val="975786192"/>
      </c:barChart>
      <c:lineChart>
        <c:grouping val="standard"/>
        <c:varyColors val="0"/>
        <c:ser>
          <c:idx val="1"/>
          <c:order val="1"/>
          <c:spPr>
            <a:ln w="28575" cap="rnd">
              <a:solidFill>
                <a:srgbClr val="9A221D"/>
              </a:solidFill>
              <a:round/>
            </a:ln>
            <a:effectLst/>
          </c:spPr>
          <c:marker>
            <c:symbol val="none"/>
          </c:marker>
          <c:cat>
            <c:numRef>
              <c:f>'3WS'!$H$6:$H$19</c:f>
              <c:numCache>
                <c:formatCode>General</c:formatCode>
                <c:ptCount val="14"/>
              </c:numCache>
            </c:numRef>
          </c:cat>
          <c:val>
            <c:numRef>
              <c:f>'3WS'!$J$6:$J$19</c:f>
              <c:numCache>
                <c:formatCode>0.00</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mooth val="1"/>
          <c:extLst>
            <c:ext xmlns:c16="http://schemas.microsoft.com/office/drawing/2014/chart" uri="{C3380CC4-5D6E-409C-BE32-E72D297353CC}">
              <c16:uniqueId val="{00000001-AD1B-4FE8-8487-F442DF7C8F68}"/>
            </c:ext>
          </c:extLst>
        </c:ser>
        <c:dLbls>
          <c:showLegendKey val="0"/>
          <c:showVal val="0"/>
          <c:showCatName val="0"/>
          <c:showSerName val="0"/>
          <c:showPercent val="0"/>
          <c:showBubbleSize val="0"/>
        </c:dLbls>
        <c:marker val="1"/>
        <c:smooth val="0"/>
        <c:axId val="975788160"/>
        <c:axId val="975786192"/>
      </c:lineChart>
      <c:catAx>
        <c:axId val="97578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786192"/>
        <c:crosses val="autoZero"/>
        <c:auto val="1"/>
        <c:lblAlgn val="ctr"/>
        <c:lblOffset val="100"/>
        <c:noMultiLvlLbl val="0"/>
      </c:catAx>
      <c:valAx>
        <c:axId val="975786192"/>
        <c:scaling>
          <c:orientation val="minMax"/>
        </c:scaling>
        <c:delete val="1"/>
        <c:axPos val="l"/>
        <c:numFmt formatCode="General" sourceLinked="1"/>
        <c:majorTickMark val="none"/>
        <c:minorTickMark val="none"/>
        <c:tickLblPos val="nextTo"/>
        <c:crossAx val="97578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121126091825152E-2"/>
          <c:y val="3.7199892497097993E-2"/>
          <c:w val="0.92744489377005213"/>
          <c:h val="0.9216486828035384"/>
        </c:manualLayout>
      </c:layout>
      <c:scatterChart>
        <c:scatterStyle val="lineMarker"/>
        <c:varyColors val="0"/>
        <c:ser>
          <c:idx val="1"/>
          <c:order val="0"/>
          <c:spPr>
            <a:ln w="25400" cap="rnd">
              <a:solidFill>
                <a:srgbClr val="FF0000"/>
              </a:solidFill>
              <a:prstDash val="dash"/>
              <a:round/>
            </a:ln>
            <a:effectLst/>
          </c:spPr>
          <c:marker>
            <c:symbol val="none"/>
          </c:marker>
          <c:dPt>
            <c:idx val="1"/>
            <c:marker>
              <c:symbol val="none"/>
            </c:marker>
            <c:bubble3D val="0"/>
            <c:spPr>
              <a:ln w="25400" cap="rnd">
                <a:solidFill>
                  <a:srgbClr val="9A221D"/>
                </a:solidFill>
                <a:prstDash val="dash"/>
                <a:round/>
              </a:ln>
              <a:effectLst/>
            </c:spPr>
            <c:extLst>
              <c:ext xmlns:c16="http://schemas.microsoft.com/office/drawing/2014/chart" uri="{C3380CC4-5D6E-409C-BE32-E72D297353CC}">
                <c16:uniqueId val="{00000002-82D7-4C6A-81C9-FF47E985EFFC}"/>
              </c:ext>
            </c:extLst>
          </c:dPt>
          <c:xVal>
            <c:numRef>
              <c:f>'4WS'!$I$18:$I$19</c:f>
              <c:numCache>
                <c:formatCode>0</c:formatCode>
                <c:ptCount val="2"/>
                <c:pt idx="0" formatCode="General">
                  <c:v>0</c:v>
                </c:pt>
                <c:pt idx="1">
                  <c:v>0</c:v>
                </c:pt>
              </c:numCache>
            </c:numRef>
          </c:xVal>
          <c:yVal>
            <c:numRef>
              <c:f>'4WS'!$J$18:$J$19</c:f>
              <c:numCache>
                <c:formatCode>0</c:formatCode>
                <c:ptCount val="2"/>
                <c:pt idx="0" formatCode="General">
                  <c:v>0</c:v>
                </c:pt>
                <c:pt idx="1">
                  <c:v>0</c:v>
                </c:pt>
              </c:numCache>
            </c:numRef>
          </c:yVal>
          <c:smooth val="0"/>
          <c:extLst>
            <c:ext xmlns:c16="http://schemas.microsoft.com/office/drawing/2014/chart" uri="{C3380CC4-5D6E-409C-BE32-E72D297353CC}">
              <c16:uniqueId val="{00000003-82D7-4C6A-81C9-FF47E985EFFC}"/>
            </c:ext>
          </c:extLst>
        </c:ser>
        <c:ser>
          <c:idx val="3"/>
          <c:order val="1"/>
          <c:spPr>
            <a:ln w="25400" cap="rnd">
              <a:solidFill>
                <a:srgbClr val="FFC000"/>
              </a:solidFill>
              <a:prstDash val="dash"/>
              <a:round/>
            </a:ln>
            <a:effectLst/>
          </c:spPr>
          <c:marker>
            <c:symbol val="none"/>
          </c:marker>
          <c:dPt>
            <c:idx val="1"/>
            <c:marker>
              <c:symbol val="none"/>
            </c:marker>
            <c:bubble3D val="0"/>
            <c:spPr>
              <a:ln w="25400" cap="rnd">
                <a:solidFill>
                  <a:srgbClr val="E6BE8A"/>
                </a:solidFill>
                <a:prstDash val="dash"/>
                <a:round/>
              </a:ln>
              <a:effectLst/>
            </c:spPr>
            <c:extLst>
              <c:ext xmlns:c16="http://schemas.microsoft.com/office/drawing/2014/chart" uri="{C3380CC4-5D6E-409C-BE32-E72D297353CC}">
                <c16:uniqueId val="{00000005-82D7-4C6A-81C9-FF47E985EFFC}"/>
              </c:ext>
            </c:extLst>
          </c:dPt>
          <c:xVal>
            <c:numRef>
              <c:f>'4WS'!$I$18:$I$19</c:f>
              <c:numCache>
                <c:formatCode>0</c:formatCode>
                <c:ptCount val="2"/>
                <c:pt idx="0" formatCode="General">
                  <c:v>0</c:v>
                </c:pt>
                <c:pt idx="1">
                  <c:v>0</c:v>
                </c:pt>
              </c:numCache>
            </c:numRef>
          </c:xVal>
          <c:yVal>
            <c:numRef>
              <c:f>'4WS'!$L$18:$L$19</c:f>
              <c:numCache>
                <c:formatCode>0.000</c:formatCode>
                <c:ptCount val="2"/>
                <c:pt idx="0">
                  <c:v>0</c:v>
                </c:pt>
                <c:pt idx="1">
                  <c:v>0</c:v>
                </c:pt>
              </c:numCache>
            </c:numRef>
          </c:yVal>
          <c:smooth val="0"/>
          <c:extLst>
            <c:ext xmlns:c16="http://schemas.microsoft.com/office/drawing/2014/chart" uri="{C3380CC4-5D6E-409C-BE32-E72D297353CC}">
              <c16:uniqueId val="{00000006-82D7-4C6A-81C9-FF47E985EFFC}"/>
            </c:ext>
          </c:extLst>
        </c:ser>
        <c:ser>
          <c:idx val="2"/>
          <c:order val="2"/>
          <c:spPr>
            <a:ln w="25400" cap="rnd">
              <a:noFill/>
              <a:round/>
            </a:ln>
            <a:effectLst/>
          </c:spPr>
          <c:marker>
            <c:symbol val="circle"/>
            <c:size val="5"/>
            <c:spPr>
              <a:solidFill>
                <a:schemeClr val="accent3"/>
              </a:solidFill>
              <a:ln w="9525">
                <a:solidFill>
                  <a:schemeClr val="accent3"/>
                </a:solidFill>
              </a:ln>
              <a:effectLst/>
            </c:spPr>
          </c:marker>
          <c:dPt>
            <c:idx val="1"/>
            <c:marker>
              <c:symbol val="none"/>
            </c:marker>
            <c:bubble3D val="0"/>
            <c:spPr>
              <a:ln w="25400" cap="rnd">
                <a:solidFill>
                  <a:schemeClr val="bg1">
                    <a:lumMod val="65000"/>
                  </a:schemeClr>
                </a:solidFill>
                <a:prstDash val="dash"/>
                <a:round/>
              </a:ln>
              <a:effectLst/>
            </c:spPr>
            <c:extLst>
              <c:ext xmlns:c16="http://schemas.microsoft.com/office/drawing/2014/chart" uri="{C3380CC4-5D6E-409C-BE32-E72D297353CC}">
                <c16:uniqueId val="{00000008-82D7-4C6A-81C9-FF47E985EFFC}"/>
              </c:ext>
            </c:extLst>
          </c:dPt>
          <c:xVal>
            <c:numRef>
              <c:f>'4WS'!$I$18:$I$19</c:f>
              <c:numCache>
                <c:formatCode>0</c:formatCode>
                <c:ptCount val="2"/>
                <c:pt idx="0" formatCode="General">
                  <c:v>0</c:v>
                </c:pt>
                <c:pt idx="1">
                  <c:v>0</c:v>
                </c:pt>
              </c:numCache>
            </c:numRef>
          </c:xVal>
          <c:yVal>
            <c:numRef>
              <c:f>'4WS'!$M$18:$M$19</c:f>
              <c:numCache>
                <c:formatCode>0.000</c:formatCode>
                <c:ptCount val="2"/>
                <c:pt idx="0">
                  <c:v>0</c:v>
                </c:pt>
                <c:pt idx="1">
                  <c:v>0</c:v>
                </c:pt>
              </c:numCache>
            </c:numRef>
          </c:yVal>
          <c:smooth val="0"/>
          <c:extLst>
            <c:ext xmlns:c16="http://schemas.microsoft.com/office/drawing/2014/chart" uri="{C3380CC4-5D6E-409C-BE32-E72D297353CC}">
              <c16:uniqueId val="{00000009-82D7-4C6A-81C9-FF47E985EFFC}"/>
            </c:ext>
          </c:extLst>
        </c:ser>
        <c:ser>
          <c:idx val="0"/>
          <c:order val="3"/>
          <c:spPr>
            <a:ln w="19050" cap="rnd">
              <a:noFill/>
              <a:round/>
            </a:ln>
            <a:effectLst/>
          </c:spPr>
          <c:marker>
            <c:symbol val="circle"/>
            <c:size val="5"/>
            <c:spPr>
              <a:solidFill>
                <a:srgbClr val="548BE9"/>
              </a:solidFill>
              <a:ln w="9525">
                <a:solidFill>
                  <a:srgbClr val="548BE9"/>
                </a:solidFill>
              </a:ln>
              <a:effectLst/>
            </c:spPr>
          </c:marker>
          <c:xVal>
            <c:numRef>
              <c:f>'4WS'!$D$10:$D$249</c:f>
              <c:numCache>
                <c:formatCode>0.000</c:formatCode>
                <c:ptCount val="240"/>
              </c:numCache>
            </c:numRef>
          </c:xVal>
          <c:yVal>
            <c:numRef>
              <c:f>'4WS'!$E$10:$E$249</c:f>
              <c:numCache>
                <c:formatCode>0.000</c:formatCode>
                <c:ptCount val="240"/>
              </c:numCache>
            </c:numRef>
          </c:yVal>
          <c:smooth val="0"/>
          <c:extLst>
            <c:ext xmlns:c16="http://schemas.microsoft.com/office/drawing/2014/chart" uri="{C3380CC4-5D6E-409C-BE32-E72D297353CC}">
              <c16:uniqueId val="{00000000-82D7-4C6A-81C9-FF47E985EFFC}"/>
            </c:ext>
          </c:extLst>
        </c:ser>
        <c:dLbls>
          <c:showLegendKey val="0"/>
          <c:showVal val="0"/>
          <c:showCatName val="0"/>
          <c:showSerName val="0"/>
          <c:showPercent val="0"/>
          <c:showBubbleSize val="0"/>
        </c:dLbls>
        <c:axId val="702438864"/>
        <c:axId val="702436896"/>
      </c:scatterChart>
      <c:valAx>
        <c:axId val="702438864"/>
        <c:scaling>
          <c:orientation val="minMax"/>
          <c:max val="6"/>
          <c:min val="-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Benchmark</a:t>
                </a:r>
              </a:p>
            </c:rich>
          </c:tx>
          <c:layout>
            <c:manualLayout>
              <c:xMode val="edge"/>
              <c:yMode val="edge"/>
              <c:x val="0.83731137774444875"/>
              <c:y val="0.5384222644226601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436896"/>
        <c:crosses val="autoZero"/>
        <c:crossBetween val="midCat"/>
      </c:valAx>
      <c:valAx>
        <c:axId val="702436896"/>
        <c:scaling>
          <c:orientation val="minMax"/>
          <c:max val="6"/>
          <c:min val="-6"/>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Portfolio</a:t>
                </a:r>
              </a:p>
            </c:rich>
          </c:tx>
          <c:layout>
            <c:manualLayout>
              <c:xMode val="edge"/>
              <c:yMode val="edge"/>
              <c:x val="0.38624338624338622"/>
              <c:y val="4.5900933335541863E-2"/>
            </c:manualLayout>
          </c:layout>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438864"/>
        <c:crosses val="autoZero"/>
        <c:crossBetween val="midCat"/>
      </c:valAx>
      <c:spPr>
        <a:solidFill>
          <a:srgbClr val="ECE9E7"/>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CE9E7"/>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png"/><Relationship Id="rId1" Type="http://schemas.openxmlformats.org/officeDocument/2006/relationships/chart" Target="../charts/chart2.xml"/><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png"/><Relationship Id="rId1" Type="http://schemas.openxmlformats.org/officeDocument/2006/relationships/chart" Target="../charts/chart3.xml"/><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7.png"/><Relationship Id="rId1" Type="http://schemas.openxmlformats.org/officeDocument/2006/relationships/chart" Target="../charts/chart4.xml"/><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0</xdr:col>
      <xdr:colOff>234950</xdr:colOff>
      <xdr:row>0</xdr:row>
      <xdr:rowOff>149225</xdr:rowOff>
    </xdr:from>
    <xdr:to>
      <xdr:col>10</xdr:col>
      <xdr:colOff>438150</xdr:colOff>
      <xdr:row>10</xdr:row>
      <xdr:rowOff>82550</xdr:rowOff>
    </xdr:to>
    <xdr:sp macro="" textlink="">
      <xdr:nvSpPr>
        <xdr:cNvPr id="2" name="TextBox 1">
          <a:extLst>
            <a:ext uri="{FF2B5EF4-FFF2-40B4-BE49-F238E27FC236}">
              <a16:creationId xmlns:a16="http://schemas.microsoft.com/office/drawing/2014/main" id="{88D0C2A3-B3E6-4166-AA2A-2C6D335270E4}"/>
            </a:ext>
          </a:extLst>
        </xdr:cNvPr>
        <xdr:cNvSpPr txBox="1"/>
      </xdr:nvSpPr>
      <xdr:spPr>
        <a:xfrm>
          <a:off x="234950" y="149225"/>
          <a:ext cx="6013450"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Disclaimer:</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This information does not constitute accounting, tax, legal, investment, consulting or other professional advice or services. CAIM accepts no liability for the impact of any decision made based on the information provided in this document.</a:t>
          </a:r>
          <a:endParaRPr lang="en-GB" sz="1100">
            <a:solidFill>
              <a:schemeClr val="dk1"/>
            </a:solidFill>
            <a:effectLst/>
            <a:latin typeface="+mn-lt"/>
            <a:ea typeface="+mn-ea"/>
            <a:cs typeface="+mn-cs"/>
          </a:endParaRPr>
        </a:p>
        <a:p>
          <a:r>
            <a:rPr lang="en-US" sz="1100">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US" sz="1100">
              <a:solidFill>
                <a:schemeClr val="dk1"/>
              </a:solidFill>
              <a:effectLst/>
              <a:latin typeface="+mn-lt"/>
              <a:ea typeface="+mn-ea"/>
              <a:cs typeface="+mn-cs"/>
            </a:rPr>
            <a:t>You agree not to copy, modify, reformat, download, reproduce, transmit or redistribute any data or information found herein, or use any such data or information in a commercial enterprise without obtaining prior written consent.</a:t>
          </a:r>
          <a:endParaRPr lang="en-GB" sz="1100"/>
        </a:p>
      </xdr:txBody>
    </xdr:sp>
    <xdr:clientData/>
  </xdr:twoCellAnchor>
  <xdr:twoCellAnchor>
    <xdr:from>
      <xdr:col>0</xdr:col>
      <xdr:colOff>244475</xdr:colOff>
      <xdr:row>11</xdr:row>
      <xdr:rowOff>28575</xdr:rowOff>
    </xdr:from>
    <xdr:to>
      <xdr:col>10</xdr:col>
      <xdr:colOff>415925</xdr:colOff>
      <xdr:row>24</xdr:row>
      <xdr:rowOff>104775</xdr:rowOff>
    </xdr:to>
    <xdr:sp macro="" textlink="">
      <xdr:nvSpPr>
        <xdr:cNvPr id="3" name="TextBox 2">
          <a:extLst>
            <a:ext uri="{FF2B5EF4-FFF2-40B4-BE49-F238E27FC236}">
              <a16:creationId xmlns:a16="http://schemas.microsoft.com/office/drawing/2014/main" id="{E8DD4E5A-2DEB-4B69-9999-1DFA6D7E43B0}"/>
            </a:ext>
          </a:extLst>
        </xdr:cNvPr>
        <xdr:cNvSpPr txBox="1"/>
      </xdr:nvSpPr>
      <xdr:spPr>
        <a:xfrm>
          <a:off x="244475" y="2124075"/>
          <a:ext cx="5981700" cy="2552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Instructions:</a:t>
          </a:r>
        </a:p>
        <a:p>
          <a:endParaRPr lang="en-GB" sz="1100"/>
        </a:p>
        <a:p>
          <a:r>
            <a:rPr lang="en-GB" sz="1100"/>
            <a:t>In order</a:t>
          </a:r>
          <a:r>
            <a:rPr lang="en-GB" sz="1100" baseline="0"/>
            <a:t> for the spreadsheet to reflect current rates, you first need to </a:t>
          </a:r>
          <a:r>
            <a:rPr lang="en-GB" sz="1100"/>
            <a:t>update the gold</a:t>
          </a:r>
          <a:r>
            <a:rPr lang="en-GB" sz="1100" baseline="0"/>
            <a:t> boxes on the worksheet 'Background info' - the FX and deposit rates - for the spreadsheet to work.</a:t>
          </a:r>
        </a:p>
        <a:p>
          <a:endParaRPr lang="en-GB" sz="1100" baseline="0"/>
        </a:p>
        <a:p>
          <a:r>
            <a:rPr lang="en-GB" sz="1100" baseline="0"/>
            <a:t>Should you wish to amend the 'other currency' option (to another currency), amend this is cell F1 of the 'Background info' page and update the gold boxes accordingly).</a:t>
          </a:r>
        </a:p>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235402</xdr:colOff>
      <xdr:row>7</xdr:row>
      <xdr:rowOff>166459</xdr:rowOff>
    </xdr:from>
    <xdr:to>
      <xdr:col>14</xdr:col>
      <xdr:colOff>510719</xdr:colOff>
      <xdr:row>28</xdr:row>
      <xdr:rowOff>83003</xdr:rowOff>
    </xdr:to>
    <xdr:graphicFrame macro="">
      <xdr:nvGraphicFramePr>
        <xdr:cNvPr id="2" name="Chart 1">
          <a:extLst>
            <a:ext uri="{FF2B5EF4-FFF2-40B4-BE49-F238E27FC236}">
              <a16:creationId xmlns:a16="http://schemas.microsoft.com/office/drawing/2014/main" id="{5C4D5097-424C-4D4A-B5B1-981B1D3D7B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228600</xdr:colOff>
      <xdr:row>1</xdr:row>
      <xdr:rowOff>152400</xdr:rowOff>
    </xdr:from>
    <xdr:to>
      <xdr:col>14</xdr:col>
      <xdr:colOff>473132</xdr:colOff>
      <xdr:row>4</xdr:row>
      <xdr:rowOff>136680</xdr:rowOff>
    </xdr:to>
    <xdr:pic>
      <xdr:nvPicPr>
        <xdr:cNvPr id="3" name="Picture 2">
          <a:extLst>
            <a:ext uri="{FF2B5EF4-FFF2-40B4-BE49-F238E27FC236}">
              <a16:creationId xmlns:a16="http://schemas.microsoft.com/office/drawing/2014/main" id="{931D1648-DABB-4EFA-B4E0-BD545552321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38900" y="485775"/>
          <a:ext cx="2568632" cy="555780"/>
        </a:xfrm>
        <a:prstGeom prst="rect">
          <a:avLst/>
        </a:prstGeom>
      </xdr:spPr>
    </xdr:pic>
    <xdr:clientData/>
  </xdr:twoCellAnchor>
  <xdr:twoCellAnchor editAs="oneCell">
    <xdr:from>
      <xdr:col>15</xdr:col>
      <xdr:colOff>57150</xdr:colOff>
      <xdr:row>1</xdr:row>
      <xdr:rowOff>114300</xdr:rowOff>
    </xdr:from>
    <xdr:to>
      <xdr:col>16</xdr:col>
      <xdr:colOff>18948</xdr:colOff>
      <xdr:row>4</xdr:row>
      <xdr:rowOff>53975</xdr:rowOff>
    </xdr:to>
    <xdr:pic macro="[0]!ShowHideSlide">
      <xdr:nvPicPr>
        <xdr:cNvPr id="4" name="Picture 3">
          <a:extLst>
            <a:ext uri="{FF2B5EF4-FFF2-40B4-BE49-F238E27FC236}">
              <a16:creationId xmlns:a16="http://schemas.microsoft.com/office/drawing/2014/main" id="{939F81FD-88EC-4960-B37B-EBC821DBE2B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172575" y="447675"/>
          <a:ext cx="542823" cy="511175"/>
        </a:xfrm>
        <a:prstGeom prst="rect">
          <a:avLst/>
        </a:prstGeom>
      </xdr:spPr>
    </xdr:pic>
    <xdr:clientData/>
  </xdr:twoCellAnchor>
  <xdr:twoCellAnchor editAs="oneCell">
    <xdr:from>
      <xdr:col>0</xdr:col>
      <xdr:colOff>9525</xdr:colOff>
      <xdr:row>1</xdr:row>
      <xdr:rowOff>64498</xdr:rowOff>
    </xdr:from>
    <xdr:to>
      <xdr:col>14</xdr:col>
      <xdr:colOff>402360</xdr:colOff>
      <xdr:row>33</xdr:row>
      <xdr:rowOff>88498</xdr:rowOff>
    </xdr:to>
    <xdr:pic>
      <xdr:nvPicPr>
        <xdr:cNvPr id="5" name="Slide1" hidden="1">
          <a:extLst>
            <a:ext uri="{FF2B5EF4-FFF2-40B4-BE49-F238E27FC236}">
              <a16:creationId xmlns:a16="http://schemas.microsoft.com/office/drawing/2014/main" id="{08982922-405E-4D2C-9473-FCB8765CDEBB}"/>
            </a:ext>
          </a:extLst>
        </xdr:cNvPr>
        <xdr:cNvPicPr>
          <a:picLocks noChangeAspect="1"/>
        </xdr:cNvPicPr>
      </xdr:nvPicPr>
      <xdr:blipFill>
        <a:blip xmlns:r="http://schemas.openxmlformats.org/officeDocument/2006/relationships" r:embed="rId4"/>
        <a:stretch>
          <a:fillRect/>
        </a:stretch>
      </xdr:blipFill>
      <xdr:spPr>
        <a:xfrm>
          <a:off x="9525" y="397873"/>
          <a:ext cx="8927235" cy="612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266700</xdr:colOff>
      <xdr:row>6</xdr:row>
      <xdr:rowOff>161925</xdr:rowOff>
    </xdr:from>
    <xdr:to>
      <xdr:col>8</xdr:col>
      <xdr:colOff>542925</xdr:colOff>
      <xdr:row>15</xdr:row>
      <xdr:rowOff>9525</xdr:rowOff>
    </xdr:to>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624943DD-998A-4486-9710-F21AB0D57E78}"/>
                </a:ext>
              </a:extLst>
            </xdr:cNvPr>
            <xdr:cNvSpPr txBox="1"/>
          </xdr:nvSpPr>
          <xdr:spPr>
            <a:xfrm>
              <a:off x="4019550" y="1447800"/>
              <a:ext cx="2019300"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relationship between covariance, correlation and standard deviations</a:t>
              </a:r>
              <a:r>
                <a:rPr lang="en-GB" sz="1100" i="1" baseline="0">
                  <a:solidFill>
                    <a:schemeClr val="dk1"/>
                  </a:solidFill>
                  <a:effectLst/>
                  <a:latin typeface="+mn-lt"/>
                  <a:ea typeface="+mn-ea"/>
                  <a:cs typeface="+mn-cs"/>
                </a:rPr>
                <a:t> is given by:</a:t>
              </a:r>
              <a14:m>
                <m:oMath xmlns:m="http://schemas.openxmlformats.org/officeDocument/2006/math">
                  <m:r>
                    <a:rPr lang="en-GB" sz="1100" b="0" i="1">
                      <a:solidFill>
                        <a:schemeClr val="dk1"/>
                      </a:solidFill>
                      <a:effectLst/>
                      <a:latin typeface="Cambria Math" panose="02040503050406030204" pitchFamily="18" charset="0"/>
                      <a:ea typeface="+mn-ea"/>
                      <a:cs typeface="+mn-cs"/>
                    </a:rPr>
                    <m:t>   </m:t>
                  </m:r>
                  <m:sSubSup>
                    <m:sSubSupPr>
                      <m:ctrlPr>
                        <a:rPr lang="en-GB" sz="1100" i="1">
                          <a:solidFill>
                            <a:schemeClr val="dk1"/>
                          </a:solidFill>
                          <a:effectLst/>
                          <a:latin typeface="Cambria Math" panose="02040503050406030204" pitchFamily="18" charset="0"/>
                          <a:ea typeface="+mn-ea"/>
                          <a:cs typeface="+mn-cs"/>
                        </a:rPr>
                      </m:ctrlPr>
                    </m:sSubSup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𝑥𝑦</m:t>
                      </m:r>
                    </m:sub>
                    <m:sup>
                      <m:r>
                        <a:rPr lang="en-GB" sz="1100" i="1">
                          <a:solidFill>
                            <a:schemeClr val="dk1"/>
                          </a:solidFill>
                          <a:effectLst/>
                          <a:latin typeface="Cambria Math" panose="02040503050406030204" pitchFamily="18" charset="0"/>
                          <a:ea typeface="+mn-ea"/>
                          <a:cs typeface="+mn-cs"/>
                        </a:rPr>
                        <m:t>2</m:t>
                      </m:r>
                    </m:sup>
                  </m:sSubSup>
                  <m:r>
                    <a:rPr lang="en-GB" sz="1100" i="1">
                      <a:solidFill>
                        <a:schemeClr val="dk1"/>
                      </a:solidFill>
                      <a:effectLst/>
                      <a:latin typeface="Cambria Math" panose="02040503050406030204" pitchFamily="18" charset="0"/>
                      <a:ea typeface="+mn-ea"/>
                      <a:cs typeface="+mn-cs"/>
                    </a:rPr>
                    <m:t>= </m:t>
                  </m:r>
                  <m:r>
                    <a:rPr lang="en-GB" sz="1100" i="1">
                      <a:solidFill>
                        <a:schemeClr val="dk1"/>
                      </a:solidFill>
                      <a:effectLst/>
                      <a:latin typeface="Cambria Math" panose="02040503050406030204" pitchFamily="18" charset="0"/>
                      <a:ea typeface="+mn-ea"/>
                      <a:cs typeface="+mn-cs"/>
                    </a:rPr>
                    <m:t>𝜌</m:t>
                  </m:r>
                  <m:sSub>
                    <m:sSubPr>
                      <m:ctrlPr>
                        <a:rPr lang="en-GB" sz="1100" i="1">
                          <a:solidFill>
                            <a:schemeClr val="dk1"/>
                          </a:solidFill>
                          <a:effectLst/>
                          <a:latin typeface="Cambria Math" panose="02040503050406030204" pitchFamily="18" charset="0"/>
                          <a:ea typeface="+mn-ea"/>
                          <a:cs typeface="+mn-cs"/>
                        </a:rPr>
                      </m:ctrlPr>
                    </m:sSub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𝑥</m:t>
                      </m:r>
                    </m:sub>
                  </m:sSub>
                  <m:sSub>
                    <m:sSubPr>
                      <m:ctrlPr>
                        <a:rPr lang="en-GB" sz="1100" i="1">
                          <a:solidFill>
                            <a:schemeClr val="dk1"/>
                          </a:solidFill>
                          <a:effectLst/>
                          <a:latin typeface="Cambria Math" panose="02040503050406030204" pitchFamily="18" charset="0"/>
                          <a:ea typeface="+mn-ea"/>
                          <a:cs typeface="+mn-cs"/>
                        </a:rPr>
                      </m:ctrlPr>
                    </m:sSub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𝑦</m:t>
                      </m:r>
                    </m:sub>
                  </m:sSub>
                </m:oMath>
              </a14:m>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Using covaiance matrix </a:t>
              </a:r>
              <a14:m>
                <m:oMath xmlns:m="http://schemas.openxmlformats.org/officeDocument/2006/math">
                  <m:r>
                    <m:rPr>
                      <m:sty m:val="p"/>
                    </m:rPr>
                    <a:rPr lang="en-GB" sz="1100" i="1">
                      <a:solidFill>
                        <a:schemeClr val="dk1"/>
                      </a:solidFill>
                      <a:effectLst/>
                      <a:latin typeface="Cambria Math" panose="02040503050406030204" pitchFamily="18" charset="0"/>
                      <a:ea typeface="+mn-ea"/>
                      <a:cs typeface="+mn-cs"/>
                    </a:rPr>
                    <m:t>Σ</m:t>
                  </m:r>
                </m:oMath>
              </a14:m>
              <a:r>
                <a:rPr lang="en-GB" sz="1100" i="1">
                  <a:solidFill>
                    <a:schemeClr val="dk1"/>
                  </a:solidFill>
                  <a:effectLst/>
                  <a:latin typeface="+mn-lt"/>
                  <a:ea typeface="+mn-ea"/>
                  <a:cs typeface="+mn-cs"/>
                </a:rPr>
                <a:t>, the risk of the portfolio is calculated using: </a:t>
              </a:r>
              <a14:m>
                <m:oMath xmlns:m="http://schemas.openxmlformats.org/officeDocument/2006/math">
                  <m:r>
                    <a:rPr lang="en-GB" sz="1100" i="1">
                      <a:solidFill>
                        <a:schemeClr val="dk1"/>
                      </a:solidFill>
                      <a:effectLst/>
                      <a:latin typeface="Cambria Math" panose="02040503050406030204" pitchFamily="18" charset="0"/>
                      <a:ea typeface="+mn-ea"/>
                      <a:cs typeface="+mn-cs"/>
                    </a:rPr>
                    <m:t>𝜎</m:t>
                  </m:r>
                  <m:r>
                    <a:rPr lang="en-GB" sz="1100" i="1">
                      <a:solidFill>
                        <a:schemeClr val="dk1"/>
                      </a:solidFill>
                      <a:effectLst/>
                      <a:latin typeface="Cambria Math" panose="02040503050406030204" pitchFamily="18" charset="0"/>
                      <a:ea typeface="+mn-ea"/>
                      <a:cs typeface="+mn-cs"/>
                    </a:rPr>
                    <m:t>= </m:t>
                  </m:r>
                  <m:rad>
                    <m:radPr>
                      <m:degHide m:val="on"/>
                      <m:ctrlPr>
                        <a:rPr lang="en-GB" sz="1100" i="1">
                          <a:solidFill>
                            <a:schemeClr val="dk1"/>
                          </a:solidFill>
                          <a:effectLst/>
                          <a:latin typeface="Cambria Math" panose="02040503050406030204" pitchFamily="18" charset="0"/>
                          <a:ea typeface="+mn-ea"/>
                          <a:cs typeface="+mn-cs"/>
                        </a:rPr>
                      </m:ctrlPr>
                    </m:radPr>
                    <m:deg/>
                    <m:e>
                      <m:r>
                        <a:rPr lang="en-GB" sz="1100" i="1">
                          <a:solidFill>
                            <a:schemeClr val="dk1"/>
                          </a:solidFill>
                          <a:effectLst/>
                          <a:latin typeface="Cambria Math" panose="02040503050406030204" pitchFamily="18" charset="0"/>
                          <a:ea typeface="+mn-ea"/>
                          <a:cs typeface="+mn-cs"/>
                        </a:rPr>
                        <m:t>𝑤</m:t>
                      </m:r>
                      <m:r>
                        <m:rPr>
                          <m:sty m:val="p"/>
                        </m:rPr>
                        <a:rPr lang="en-GB" sz="1100">
                          <a:solidFill>
                            <a:schemeClr val="dk1"/>
                          </a:solidFill>
                          <a:effectLst/>
                          <a:latin typeface="Cambria Math" panose="02040503050406030204" pitchFamily="18" charset="0"/>
                          <a:ea typeface="+mn-ea"/>
                          <a:cs typeface="+mn-cs"/>
                        </a:rPr>
                        <m:t>Σ</m:t>
                      </m:r>
                      <m:sSup>
                        <m:sSupPr>
                          <m:ctrlPr>
                            <a:rPr lang="en-GB" sz="1100" i="1">
                              <a:solidFill>
                                <a:schemeClr val="dk1"/>
                              </a:solidFill>
                              <a:effectLst/>
                              <a:latin typeface="Cambria Math" panose="02040503050406030204" pitchFamily="18" charset="0"/>
                              <a:ea typeface="+mn-ea"/>
                              <a:cs typeface="+mn-cs"/>
                            </a:rPr>
                          </m:ctrlPr>
                        </m:sSupPr>
                        <m:e>
                          <m:r>
                            <a:rPr lang="en-GB" sz="1100" i="1">
                              <a:solidFill>
                                <a:schemeClr val="dk1"/>
                              </a:solidFill>
                              <a:effectLst/>
                              <a:latin typeface="Cambria Math" panose="02040503050406030204" pitchFamily="18" charset="0"/>
                              <a:ea typeface="+mn-ea"/>
                              <a:cs typeface="+mn-cs"/>
                            </a:rPr>
                            <m:t>𝑤</m:t>
                          </m:r>
                        </m:e>
                        <m:sup>
                          <m:r>
                            <a:rPr lang="en-GB" sz="1100" i="1">
                              <a:solidFill>
                                <a:schemeClr val="dk1"/>
                              </a:solidFill>
                              <a:effectLst/>
                              <a:latin typeface="Cambria Math" panose="02040503050406030204" pitchFamily="18" charset="0"/>
                              <a:ea typeface="+mn-ea"/>
                              <a:cs typeface="+mn-cs"/>
                            </a:rPr>
                            <m:t>𝑇</m:t>
                          </m:r>
                        </m:sup>
                      </m:sSup>
                    </m:e>
                  </m:rad>
                </m:oMath>
              </a14:m>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endParaRPr lang="en-GB" sz="1100"/>
            </a:p>
          </xdr:txBody>
        </xdr:sp>
      </mc:Choice>
      <mc:Fallback xmlns="">
        <xdr:sp macro="" textlink="">
          <xdr:nvSpPr>
            <xdr:cNvPr id="6" name="TextBox 5">
              <a:extLst>
                <a:ext uri="{FF2B5EF4-FFF2-40B4-BE49-F238E27FC236}">
                  <a16:creationId xmlns:a16="http://schemas.microsoft.com/office/drawing/2014/main" id="{624943DD-998A-4486-9710-F21AB0D57E78}"/>
                </a:ext>
              </a:extLst>
            </xdr:cNvPr>
            <xdr:cNvSpPr txBox="1"/>
          </xdr:nvSpPr>
          <xdr:spPr>
            <a:xfrm>
              <a:off x="4019550" y="1447800"/>
              <a:ext cx="2019300"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relationship between covariance, correlation and standard deviations</a:t>
              </a:r>
              <a:r>
                <a:rPr lang="en-GB" sz="1100" i="1" baseline="0">
                  <a:solidFill>
                    <a:schemeClr val="dk1"/>
                  </a:solidFill>
                  <a:effectLst/>
                  <a:latin typeface="+mn-lt"/>
                  <a:ea typeface="+mn-ea"/>
                  <a:cs typeface="+mn-cs"/>
                </a:rPr>
                <a:t> is given by:</a:t>
              </a:r>
              <a:r>
                <a:rPr lang="en-GB" sz="1100" b="0" i="0">
                  <a:solidFill>
                    <a:schemeClr val="dk1"/>
                  </a:solidFill>
                  <a:effectLst/>
                  <a:latin typeface="Cambria Math" panose="02040503050406030204" pitchFamily="18" charset="0"/>
                  <a:ea typeface="+mn-ea"/>
                  <a:cs typeface="+mn-cs"/>
                </a:rPr>
                <a:t>   </a:t>
              </a:r>
              <a:r>
                <a:rPr lang="en-GB" sz="1100" i="0">
                  <a:solidFill>
                    <a:schemeClr val="dk1"/>
                  </a:solidFill>
                  <a:effectLst/>
                  <a:latin typeface="Cambria Math" panose="02040503050406030204" pitchFamily="18" charset="0"/>
                  <a:ea typeface="+mn-ea"/>
                  <a:cs typeface="+mn-cs"/>
                </a:rPr>
                <a:t>𝜎_𝑥𝑦^2= 𝜌𝜎_𝑥 𝜎_𝑦</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Using covaiance matrix </a:t>
              </a:r>
              <a:r>
                <a:rPr lang="en-GB" sz="1100" i="0">
                  <a:solidFill>
                    <a:schemeClr val="dk1"/>
                  </a:solidFill>
                  <a:effectLst/>
                  <a:latin typeface="Cambria Math" panose="02040503050406030204" pitchFamily="18" charset="0"/>
                  <a:ea typeface="+mn-ea"/>
                  <a:cs typeface="+mn-cs"/>
                </a:rPr>
                <a:t>Σ</a:t>
              </a:r>
              <a:r>
                <a:rPr lang="en-GB" sz="1100" i="1">
                  <a:solidFill>
                    <a:schemeClr val="dk1"/>
                  </a:solidFill>
                  <a:effectLst/>
                  <a:latin typeface="+mn-lt"/>
                  <a:ea typeface="+mn-ea"/>
                  <a:cs typeface="+mn-cs"/>
                </a:rPr>
                <a:t>, the risk of the portfolio is calculated using: </a:t>
              </a:r>
              <a:r>
                <a:rPr lang="en-GB" sz="1100" i="0">
                  <a:solidFill>
                    <a:schemeClr val="dk1"/>
                  </a:solidFill>
                  <a:effectLst/>
                  <a:latin typeface="Cambria Math" panose="02040503050406030204" pitchFamily="18" charset="0"/>
                  <a:ea typeface="+mn-ea"/>
                  <a:cs typeface="+mn-cs"/>
                </a:rPr>
                <a:t>𝜎= √(𝑤Σ𝑤^𝑇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endParaRPr lang="en-GB" sz="1100"/>
            </a:p>
          </xdr:txBody>
        </xdr:sp>
      </mc:Fallback>
    </mc:AlternateContent>
    <xdr:clientData/>
  </xdr:twoCellAnchor>
  <xdr:twoCellAnchor>
    <xdr:from>
      <xdr:col>5</xdr:col>
      <xdr:colOff>304086</xdr:colOff>
      <xdr:row>16</xdr:row>
      <xdr:rowOff>17282</xdr:rowOff>
    </xdr:from>
    <xdr:to>
      <xdr:col>15</xdr:col>
      <xdr:colOff>600109</xdr:colOff>
      <xdr:row>32</xdr:row>
      <xdr:rowOff>29983</xdr:rowOff>
    </xdr:to>
    <xdr:graphicFrame macro="">
      <xdr:nvGraphicFramePr>
        <xdr:cNvPr id="2" name="Chart 1">
          <a:extLst>
            <a:ext uri="{FF2B5EF4-FFF2-40B4-BE49-F238E27FC236}">
              <a16:creationId xmlns:a16="http://schemas.microsoft.com/office/drawing/2014/main" id="{F7B24F2A-14C9-4502-874F-87DF33AC31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48254</xdr:colOff>
      <xdr:row>2</xdr:row>
      <xdr:rowOff>111617</xdr:rowOff>
    </xdr:from>
    <xdr:to>
      <xdr:col>13</xdr:col>
      <xdr:colOff>558927</xdr:colOff>
      <xdr:row>6</xdr:row>
      <xdr:rowOff>99516</xdr:rowOff>
    </xdr:to>
    <xdr:pic>
      <xdr:nvPicPr>
        <xdr:cNvPr id="3" name="Picture 2">
          <a:extLst>
            <a:ext uri="{FF2B5EF4-FFF2-40B4-BE49-F238E27FC236}">
              <a16:creationId xmlns:a16="http://schemas.microsoft.com/office/drawing/2014/main" id="{01D89359-D7E1-484F-99ED-FE91931BEE7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815209" y="625390"/>
          <a:ext cx="3570218" cy="726808"/>
        </a:xfrm>
        <a:prstGeom prst="rect">
          <a:avLst/>
        </a:prstGeom>
      </xdr:spPr>
    </xdr:pic>
    <xdr:clientData/>
  </xdr:twoCellAnchor>
  <xdr:twoCellAnchor editAs="oneCell">
    <xdr:from>
      <xdr:col>14</xdr:col>
      <xdr:colOff>268568</xdr:colOff>
      <xdr:row>1</xdr:row>
      <xdr:rowOff>184149</xdr:rowOff>
    </xdr:from>
    <xdr:to>
      <xdr:col>15</xdr:col>
      <xdr:colOff>244560</xdr:colOff>
      <xdr:row>4</xdr:row>
      <xdr:rowOff>129054</xdr:rowOff>
    </xdr:to>
    <xdr:pic macro="[0]!ShowHideSlide">
      <xdr:nvPicPr>
        <xdr:cNvPr id="4" name="Picture 3">
          <a:extLst>
            <a:ext uri="{FF2B5EF4-FFF2-40B4-BE49-F238E27FC236}">
              <a16:creationId xmlns:a16="http://schemas.microsoft.com/office/drawing/2014/main" id="{8015BFB5-F4B8-4161-B29F-2201DE4F469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250643" y="517524"/>
          <a:ext cx="557017" cy="516405"/>
        </a:xfrm>
        <a:prstGeom prst="rect">
          <a:avLst/>
        </a:prstGeom>
      </xdr:spPr>
    </xdr:pic>
    <xdr:clientData/>
  </xdr:twoCellAnchor>
  <xdr:twoCellAnchor editAs="oneCell">
    <xdr:from>
      <xdr:col>0</xdr:col>
      <xdr:colOff>52293</xdr:colOff>
      <xdr:row>1</xdr:row>
      <xdr:rowOff>32870</xdr:rowOff>
    </xdr:from>
    <xdr:to>
      <xdr:col>14</xdr:col>
      <xdr:colOff>64676</xdr:colOff>
      <xdr:row>33</xdr:row>
      <xdr:rowOff>56870</xdr:rowOff>
    </xdr:to>
    <xdr:pic>
      <xdr:nvPicPr>
        <xdr:cNvPr id="5" name="Slide1" hidden="1">
          <a:extLst>
            <a:ext uri="{FF2B5EF4-FFF2-40B4-BE49-F238E27FC236}">
              <a16:creationId xmlns:a16="http://schemas.microsoft.com/office/drawing/2014/main" id="{DE3487D4-45F1-4884-AAF9-EF4B5409DEC6}"/>
            </a:ext>
          </a:extLst>
        </xdr:cNvPr>
        <xdr:cNvPicPr>
          <a:picLocks noChangeAspect="1"/>
        </xdr:cNvPicPr>
      </xdr:nvPicPr>
      <xdr:blipFill>
        <a:blip xmlns:r="http://schemas.openxmlformats.org/officeDocument/2006/relationships" r:embed="rId4"/>
        <a:stretch>
          <a:fillRect/>
        </a:stretch>
      </xdr:blipFill>
      <xdr:spPr>
        <a:xfrm>
          <a:off x="52293" y="366245"/>
          <a:ext cx="8994458" cy="612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11</xdr:col>
      <xdr:colOff>19051</xdr:colOff>
      <xdr:row>5</xdr:row>
      <xdr:rowOff>1221</xdr:rowOff>
    </xdr:from>
    <xdr:to>
      <xdr:col>18</xdr:col>
      <xdr:colOff>461352</xdr:colOff>
      <xdr:row>19</xdr:row>
      <xdr:rowOff>77422</xdr:rowOff>
    </xdr:to>
    <xdr:graphicFrame macro="">
      <xdr:nvGraphicFramePr>
        <xdr:cNvPr id="3" name="Chart 2">
          <a:extLst>
            <a:ext uri="{FF2B5EF4-FFF2-40B4-BE49-F238E27FC236}">
              <a16:creationId xmlns:a16="http://schemas.microsoft.com/office/drawing/2014/main" id="{EAC761F8-9CEE-46E2-B1CA-8E791C6D1A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117476</xdr:colOff>
      <xdr:row>1</xdr:row>
      <xdr:rowOff>40541</xdr:rowOff>
    </xdr:from>
    <xdr:to>
      <xdr:col>16</xdr:col>
      <xdr:colOff>64938</xdr:colOff>
      <xdr:row>4</xdr:row>
      <xdr:rowOff>76200</xdr:rowOff>
    </xdr:to>
    <xdr:pic>
      <xdr:nvPicPr>
        <xdr:cNvPr id="5" name="Picture 4">
          <a:extLst>
            <a:ext uri="{FF2B5EF4-FFF2-40B4-BE49-F238E27FC236}">
              <a16:creationId xmlns:a16="http://schemas.microsoft.com/office/drawing/2014/main" id="{82D497BB-526C-4101-8C50-08A18D1BF9C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108826" y="373916"/>
          <a:ext cx="2852587" cy="607159"/>
        </a:xfrm>
        <a:prstGeom prst="rect">
          <a:avLst/>
        </a:prstGeom>
      </xdr:spPr>
    </xdr:pic>
    <xdr:clientData/>
  </xdr:twoCellAnchor>
  <xdr:twoCellAnchor editAs="oneCell">
    <xdr:from>
      <xdr:col>16</xdr:col>
      <xdr:colOff>194408</xdr:colOff>
      <xdr:row>1</xdr:row>
      <xdr:rowOff>127488</xdr:rowOff>
    </xdr:from>
    <xdr:to>
      <xdr:col>17</xdr:col>
      <xdr:colOff>151078</xdr:colOff>
      <xdr:row>4</xdr:row>
      <xdr:rowOff>46160</xdr:rowOff>
    </xdr:to>
    <xdr:pic macro="[0]!ShowHideSlide">
      <xdr:nvPicPr>
        <xdr:cNvPr id="6" name="Picture 5">
          <a:extLst>
            <a:ext uri="{FF2B5EF4-FFF2-40B4-BE49-F238E27FC236}">
              <a16:creationId xmlns:a16="http://schemas.microsoft.com/office/drawing/2014/main" id="{BD8BDCAB-7BE3-455A-A225-CE59E23D6C9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090883" y="460863"/>
          <a:ext cx="537695" cy="490172"/>
        </a:xfrm>
        <a:prstGeom prst="rect">
          <a:avLst/>
        </a:prstGeom>
      </xdr:spPr>
    </xdr:pic>
    <xdr:clientData/>
  </xdr:twoCellAnchor>
  <xdr:twoCellAnchor editAs="oneCell">
    <xdr:from>
      <xdr:col>0</xdr:col>
      <xdr:colOff>28575</xdr:colOff>
      <xdr:row>1</xdr:row>
      <xdr:rowOff>47544</xdr:rowOff>
    </xdr:from>
    <xdr:to>
      <xdr:col>16</xdr:col>
      <xdr:colOff>98360</xdr:colOff>
      <xdr:row>38</xdr:row>
      <xdr:rowOff>57875</xdr:rowOff>
    </xdr:to>
    <xdr:pic>
      <xdr:nvPicPr>
        <xdr:cNvPr id="7" name="Slide1" hidden="1">
          <a:extLst>
            <a:ext uri="{FF2B5EF4-FFF2-40B4-BE49-F238E27FC236}">
              <a16:creationId xmlns:a16="http://schemas.microsoft.com/office/drawing/2014/main" id="{C6A8567E-23B6-4724-830C-AF11FA6ABF88}"/>
            </a:ext>
          </a:extLst>
        </xdr:cNvPr>
        <xdr:cNvPicPr>
          <a:picLocks noChangeAspect="1"/>
        </xdr:cNvPicPr>
      </xdr:nvPicPr>
      <xdr:blipFill>
        <a:blip xmlns:r="http://schemas.openxmlformats.org/officeDocument/2006/relationships" r:embed="rId4"/>
        <a:stretch>
          <a:fillRect/>
        </a:stretch>
      </xdr:blipFill>
      <xdr:spPr>
        <a:xfrm>
          <a:off x="28575" y="380919"/>
          <a:ext cx="9966260" cy="705883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13</xdr:col>
      <xdr:colOff>219836</xdr:colOff>
      <xdr:row>3</xdr:row>
      <xdr:rowOff>107017</xdr:rowOff>
    </xdr:from>
    <xdr:to>
      <xdr:col>22</xdr:col>
      <xdr:colOff>218889</xdr:colOff>
      <xdr:row>31</xdr:row>
      <xdr:rowOff>151840</xdr:rowOff>
    </xdr:to>
    <xdr:graphicFrame macro="">
      <xdr:nvGraphicFramePr>
        <xdr:cNvPr id="2" name="Chart 1">
          <a:extLst>
            <a:ext uri="{FF2B5EF4-FFF2-40B4-BE49-F238E27FC236}">
              <a16:creationId xmlns:a16="http://schemas.microsoft.com/office/drawing/2014/main" id="{7C8F3CDD-AFD6-4A55-9733-1C6D6031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638735</xdr:colOff>
      <xdr:row>1</xdr:row>
      <xdr:rowOff>100854</xdr:rowOff>
    </xdr:from>
    <xdr:to>
      <xdr:col>11</xdr:col>
      <xdr:colOff>323850</xdr:colOff>
      <xdr:row>4</xdr:row>
      <xdr:rowOff>102608</xdr:rowOff>
    </xdr:to>
    <xdr:pic>
      <xdr:nvPicPr>
        <xdr:cNvPr id="3" name="Picture 2">
          <a:extLst>
            <a:ext uri="{FF2B5EF4-FFF2-40B4-BE49-F238E27FC236}">
              <a16:creationId xmlns:a16="http://schemas.microsoft.com/office/drawing/2014/main" id="{AB4C74DB-A214-452E-9C32-0129B3039F9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382185" y="434229"/>
          <a:ext cx="2666440" cy="576429"/>
        </a:xfrm>
        <a:prstGeom prst="rect">
          <a:avLst/>
        </a:prstGeom>
      </xdr:spPr>
    </xdr:pic>
    <xdr:clientData/>
  </xdr:twoCellAnchor>
  <xdr:twoCellAnchor editAs="oneCell">
    <xdr:from>
      <xdr:col>12</xdr:col>
      <xdr:colOff>76759</xdr:colOff>
      <xdr:row>1</xdr:row>
      <xdr:rowOff>79002</xdr:rowOff>
    </xdr:from>
    <xdr:to>
      <xdr:col>13</xdr:col>
      <xdr:colOff>8115</xdr:colOff>
      <xdr:row>4</xdr:row>
      <xdr:rowOff>12327</xdr:rowOff>
    </xdr:to>
    <xdr:pic macro="[0]!ShowHideSlide">
      <xdr:nvPicPr>
        <xdr:cNvPr id="4" name="Picture 3">
          <a:extLst>
            <a:ext uri="{FF2B5EF4-FFF2-40B4-BE49-F238E27FC236}">
              <a16:creationId xmlns:a16="http://schemas.microsoft.com/office/drawing/2014/main" id="{497D9956-B551-47A4-810B-1A8D77ABA8C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411134" y="412377"/>
          <a:ext cx="544131" cy="501650"/>
        </a:xfrm>
        <a:prstGeom prst="rect">
          <a:avLst/>
        </a:prstGeom>
      </xdr:spPr>
    </xdr:pic>
    <xdr:clientData/>
  </xdr:twoCellAnchor>
  <xdr:twoCellAnchor editAs="oneCell">
    <xdr:from>
      <xdr:col>0</xdr:col>
      <xdr:colOff>0</xdr:colOff>
      <xdr:row>4</xdr:row>
      <xdr:rowOff>47200</xdr:rowOff>
    </xdr:from>
    <xdr:to>
      <xdr:col>12</xdr:col>
      <xdr:colOff>578290</xdr:colOff>
      <xdr:row>36</xdr:row>
      <xdr:rowOff>64850</xdr:rowOff>
    </xdr:to>
    <xdr:pic>
      <xdr:nvPicPr>
        <xdr:cNvPr id="5" name="Slide1" hidden="1">
          <a:extLst>
            <a:ext uri="{FF2B5EF4-FFF2-40B4-BE49-F238E27FC236}">
              <a16:creationId xmlns:a16="http://schemas.microsoft.com/office/drawing/2014/main" id="{5042497A-81DA-4823-890A-FDA03E8BEDAE}"/>
            </a:ext>
          </a:extLst>
        </xdr:cNvPr>
        <xdr:cNvPicPr>
          <a:picLocks noChangeAspect="1"/>
        </xdr:cNvPicPr>
      </xdr:nvPicPr>
      <xdr:blipFill>
        <a:blip xmlns:r="http://schemas.openxmlformats.org/officeDocument/2006/relationships" r:embed="rId4"/>
        <a:stretch>
          <a:fillRect/>
        </a:stretch>
      </xdr:blipFill>
      <xdr:spPr>
        <a:xfrm>
          <a:off x="0" y="930427"/>
          <a:ext cx="9321374" cy="593209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QRA/Alan/Training/Risk%20Practic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et Returns"/>
      <sheetName val="Slide3"/>
      <sheetName val="Slide4"/>
      <sheetName val="Slide5"/>
      <sheetName val="Slide6"/>
      <sheetName val="Slides7-8"/>
      <sheetName val="Slide9"/>
      <sheetName val="Slide10"/>
      <sheetName val="Slides12-16"/>
      <sheetName val="Slide19"/>
      <sheetName val="Surface"/>
      <sheetName val="bivar normal"/>
      <sheetName val=" Covar Scatter"/>
      <sheetName val=" Covar SAFE"/>
    </sheetNames>
    <sheetDataSet>
      <sheetData sheetId="0"/>
      <sheetData sheetId="1"/>
      <sheetData sheetId="2"/>
      <sheetData sheetId="3">
        <row r="1">
          <cell r="C1">
            <v>5</v>
          </cell>
        </row>
        <row r="5">
          <cell r="C5">
            <v>-1.6448536269514726</v>
          </cell>
        </row>
      </sheetData>
      <sheetData sheetId="4"/>
      <sheetData sheetId="5"/>
      <sheetData sheetId="6"/>
      <sheetData sheetId="7"/>
      <sheetData sheetId="8"/>
      <sheetData sheetId="9"/>
      <sheetData sheetId="10"/>
      <sheetData sheetId="11">
        <row r="5">
          <cell r="C5">
            <v>3.1906306224543906E-7</v>
          </cell>
        </row>
      </sheetData>
      <sheetData sheetId="12"/>
      <sheetData sheetId="13">
        <row r="11">
          <cell r="C11">
            <v>1</v>
          </cell>
          <cell r="D11">
            <v>0</v>
          </cell>
        </row>
      </sheetData>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18B78-965A-4F5A-8721-67D2261B4DA6}">
  <sheetPr codeName="Sheet4"/>
  <dimension ref="A1"/>
  <sheetViews>
    <sheetView tabSelected="1" workbookViewId="0">
      <selection activeCell="C17" sqref="C17"/>
    </sheetView>
  </sheetViews>
  <sheetFormatPr defaultColWidth="8.6640625" defaultRowHeight="14.4" x14ac:dyDescent="0.3"/>
  <cols>
    <col min="1" max="16384" width="8.6640625" style="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4825F5-162E-4872-98E0-3C8632358D5F}">
  <sheetPr codeName="Sheet12"/>
  <dimension ref="A1:P211"/>
  <sheetViews>
    <sheetView zoomScale="70" zoomScaleNormal="70" workbookViewId="0">
      <selection activeCell="C17" sqref="C17"/>
    </sheetView>
  </sheetViews>
  <sheetFormatPr defaultColWidth="8.6640625" defaultRowHeight="14.4" x14ac:dyDescent="0.3"/>
  <cols>
    <col min="1" max="1" width="8.6640625" style="2"/>
    <col min="2" max="4" width="10.6640625" style="2" customWidth="1"/>
    <col min="5" max="16384" width="8.6640625" style="2"/>
  </cols>
  <sheetData>
    <row r="1" spans="1:16" s="36" customFormat="1" ht="25.8" x14ac:dyDescent="0.5">
      <c r="A1" s="36" t="s">
        <v>36</v>
      </c>
    </row>
    <row r="2" spans="1:16" s="1" customFormat="1" x14ac:dyDescent="0.3"/>
    <row r="3" spans="1:16" x14ac:dyDescent="0.3">
      <c r="P3" s="2">
        <v>0</v>
      </c>
    </row>
    <row r="4" spans="1:16" x14ac:dyDescent="0.3">
      <c r="B4" s="3" t="s">
        <v>1</v>
      </c>
      <c r="C4" s="8">
        <v>0</v>
      </c>
      <c r="D4" s="8">
        <v>1</v>
      </c>
    </row>
    <row r="5" spans="1:16" x14ac:dyDescent="0.3">
      <c r="B5" s="3" t="s">
        <v>2</v>
      </c>
      <c r="C5" s="8">
        <v>1</v>
      </c>
      <c r="D5" s="8">
        <v>2</v>
      </c>
      <c r="F5" s="4"/>
    </row>
    <row r="6" spans="1:16" x14ac:dyDescent="0.3">
      <c r="B6" s="3" t="s">
        <v>3</v>
      </c>
      <c r="C6" s="9">
        <f>_xlfn.NORM.INV(VaR_Threshold/100,muA,sigmaA)</f>
        <v>-1.6448536269514726</v>
      </c>
      <c r="D6" s="9">
        <f>_xlfn.NORM.INV(VaR_Threshold/100,muB,sigmaB)</f>
        <v>-2.2897072539029453</v>
      </c>
      <c r="F6" s="4"/>
    </row>
    <row r="7" spans="1:16" x14ac:dyDescent="0.3">
      <c r="B7" s="3" t="s">
        <v>4</v>
      </c>
      <c r="C7" s="9">
        <f>muA-sigmaA*(100/VaR_Threshold)*(1/SQRT(2*PI())*EXP(-0.5*NORMSINV(VaR_Threshold/100)^2))</f>
        <v>-2.0627128075074266</v>
      </c>
      <c r="D7" s="9">
        <f>muB-sigmaB*(100/VaR_Threshold)*(1/SQRT(2*PI())*EXP(-0.5*NORMSINV(VaR_Threshold/100)^2))</f>
        <v>-3.1254256150148532</v>
      </c>
    </row>
    <row r="8" spans="1:16" x14ac:dyDescent="0.3">
      <c r="B8" s="3" t="s">
        <v>0</v>
      </c>
      <c r="C8" s="10">
        <v>5</v>
      </c>
      <c r="D8" s="11"/>
    </row>
    <row r="10" spans="1:16" x14ac:dyDescent="0.3">
      <c r="A10" s="5">
        <f>ABS((B211-B11)/200)</f>
        <v>0</v>
      </c>
      <c r="B10" s="12" t="s">
        <v>5</v>
      </c>
      <c r="C10" s="12" t="s">
        <v>6</v>
      </c>
      <c r="D10" s="12" t="s">
        <v>7</v>
      </c>
      <c r="F10" s="3" t="s">
        <v>5</v>
      </c>
      <c r="G10" s="3" t="s">
        <v>8</v>
      </c>
      <c r="H10" s="3"/>
      <c r="I10" s="3" t="s">
        <v>5</v>
      </c>
      <c r="J10" s="3" t="s">
        <v>9</v>
      </c>
    </row>
    <row r="11" spans="1:16" x14ac:dyDescent="0.3">
      <c r="B11" s="14"/>
      <c r="C11" s="13"/>
      <c r="D11" s="13"/>
      <c r="F11" s="2">
        <f>B11</f>
        <v>0</v>
      </c>
      <c r="G11" s="2">
        <v>0</v>
      </c>
      <c r="I11" s="2">
        <f>E11</f>
        <v>0</v>
      </c>
      <c r="J11" s="2">
        <v>0</v>
      </c>
    </row>
    <row r="12" spans="1:16" x14ac:dyDescent="0.3">
      <c r="B12" s="14"/>
      <c r="C12" s="13"/>
      <c r="D12" s="13"/>
      <c r="F12" s="2">
        <f>CVaRA-0.00001</f>
        <v>-2.0627228075074266</v>
      </c>
      <c r="G12" s="2">
        <v>0</v>
      </c>
      <c r="I12" s="2">
        <f>CVaRB-0.00001</f>
        <v>-3.1254356150148532</v>
      </c>
      <c r="J12" s="2">
        <v>0</v>
      </c>
    </row>
    <row r="13" spans="1:16" x14ac:dyDescent="0.3">
      <c r="B13" s="14"/>
      <c r="C13" s="13"/>
      <c r="D13" s="13"/>
      <c r="F13" s="2">
        <f>CVaRA</f>
        <v>-2.0627128075074266</v>
      </c>
      <c r="G13" s="74"/>
      <c r="I13" s="2">
        <f>CVaRB</f>
        <v>-3.1254256150148532</v>
      </c>
      <c r="J13" s="74"/>
    </row>
    <row r="14" spans="1:16" x14ac:dyDescent="0.3">
      <c r="B14" s="14"/>
      <c r="C14" s="13"/>
      <c r="D14" s="13"/>
      <c r="F14" s="2">
        <f>CVaRA+0.00001</f>
        <v>-2.0627028075074265</v>
      </c>
      <c r="G14" s="2">
        <v>0</v>
      </c>
      <c r="I14" s="2">
        <f>CVaRB+0.00001</f>
        <v>-3.1254156150148531</v>
      </c>
      <c r="J14" s="2">
        <v>0</v>
      </c>
    </row>
    <row r="15" spans="1:16" x14ac:dyDescent="0.3">
      <c r="B15" s="14"/>
      <c r="C15" s="13"/>
      <c r="D15" s="13"/>
      <c r="F15" s="2">
        <f>VaRA-0.00001</f>
        <v>-1.6448636269514727</v>
      </c>
      <c r="G15" s="2">
        <v>0</v>
      </c>
      <c r="I15" s="2">
        <f>VaRB-0.00001</f>
        <v>-2.2897172539029453</v>
      </c>
      <c r="J15" s="2">
        <v>0</v>
      </c>
    </row>
    <row r="16" spans="1:16" x14ac:dyDescent="0.3">
      <c r="B16" s="14"/>
      <c r="C16" s="13"/>
      <c r="D16" s="13"/>
      <c r="F16" s="2">
        <f>VaRA</f>
        <v>-1.6448536269514726</v>
      </c>
      <c r="G16" s="74"/>
      <c r="I16" s="2">
        <f>VaRB</f>
        <v>-2.2897072539029453</v>
      </c>
      <c r="J16" s="74"/>
    </row>
    <row r="17" spans="2:10" x14ac:dyDescent="0.3">
      <c r="B17" s="14"/>
      <c r="C17" s="13"/>
      <c r="D17" s="13"/>
      <c r="F17" s="2">
        <f>VaRA+0.00001</f>
        <v>-1.6448436269514726</v>
      </c>
      <c r="G17" s="2">
        <v>0</v>
      </c>
      <c r="I17" s="2">
        <f>VaRB+0.00001</f>
        <v>-2.2896972539029452</v>
      </c>
      <c r="J17" s="2">
        <v>0</v>
      </c>
    </row>
    <row r="18" spans="2:10" x14ac:dyDescent="0.3">
      <c r="B18" s="14"/>
      <c r="C18" s="13"/>
      <c r="D18" s="13"/>
      <c r="F18" s="2">
        <f>muA-sigmaA-0.00001</f>
        <v>-1.0000100000000001</v>
      </c>
      <c r="G18" s="2">
        <v>0</v>
      </c>
      <c r="I18" s="2">
        <f>muB-sigmaB-0.00001</f>
        <v>-1.0000100000000001</v>
      </c>
      <c r="J18" s="2">
        <v>0</v>
      </c>
    </row>
    <row r="19" spans="2:10" x14ac:dyDescent="0.3">
      <c r="B19" s="14"/>
      <c r="C19" s="13"/>
      <c r="D19" s="13"/>
      <c r="F19" s="2">
        <f>muA-sigmaA</f>
        <v>-1</v>
      </c>
      <c r="G19" s="74"/>
      <c r="I19" s="2">
        <f>muB-sigmaB</f>
        <v>-1</v>
      </c>
      <c r="J19" s="74"/>
    </row>
    <row r="20" spans="2:10" x14ac:dyDescent="0.3">
      <c r="B20" s="14"/>
      <c r="C20" s="13"/>
      <c r="D20" s="13"/>
      <c r="F20" s="2">
        <f>muA-sigmaA+0.00001</f>
        <v>-0.99999000000000005</v>
      </c>
      <c r="G20" s="2">
        <v>0</v>
      </c>
      <c r="I20" s="2">
        <f>muB-sigmaB+0.00001</f>
        <v>-0.99999000000000005</v>
      </c>
      <c r="J20" s="2">
        <v>0</v>
      </c>
    </row>
    <row r="21" spans="2:10" x14ac:dyDescent="0.3">
      <c r="B21" s="14"/>
      <c r="C21" s="13"/>
      <c r="D21" s="13"/>
      <c r="F21" s="2">
        <f>muA-0.00001</f>
        <v>-1.0000000000000001E-5</v>
      </c>
      <c r="G21" s="2">
        <v>0</v>
      </c>
      <c r="I21" s="2">
        <f>muB-0.00001</f>
        <v>0.99999000000000005</v>
      </c>
      <c r="J21" s="2">
        <v>0</v>
      </c>
    </row>
    <row r="22" spans="2:10" x14ac:dyDescent="0.3">
      <c r="B22" s="14"/>
      <c r="C22" s="13"/>
      <c r="D22" s="13"/>
      <c r="F22" s="2">
        <f>muA</f>
        <v>0</v>
      </c>
      <c r="G22" s="74"/>
      <c r="I22" s="2">
        <f>muB</f>
        <v>1</v>
      </c>
      <c r="J22" s="74"/>
    </row>
    <row r="23" spans="2:10" x14ac:dyDescent="0.3">
      <c r="B23" s="14"/>
      <c r="C23" s="13"/>
      <c r="D23" s="13"/>
      <c r="F23" s="2">
        <f>muA+0.00001</f>
        <v>1.0000000000000001E-5</v>
      </c>
      <c r="G23" s="2">
        <v>0</v>
      </c>
      <c r="I23" s="2">
        <f>muB+0.00001</f>
        <v>1.0000100000000001</v>
      </c>
      <c r="J23" s="2">
        <v>0</v>
      </c>
    </row>
    <row r="24" spans="2:10" x14ac:dyDescent="0.3">
      <c r="B24" s="14"/>
      <c r="C24" s="13"/>
      <c r="D24" s="13"/>
      <c r="F24" s="2">
        <f>muA+sigmaA-0.00001</f>
        <v>0.99999000000000005</v>
      </c>
      <c r="G24" s="2">
        <v>0</v>
      </c>
      <c r="I24" s="2">
        <f>muB+sigmaB-0.00001</f>
        <v>2.9999899999999999</v>
      </c>
      <c r="J24" s="2">
        <v>0</v>
      </c>
    </row>
    <row r="25" spans="2:10" x14ac:dyDescent="0.3">
      <c r="B25" s="14"/>
      <c r="C25" s="13"/>
      <c r="D25" s="13"/>
      <c r="F25" s="2">
        <f>muA+sigmaA</f>
        <v>1</v>
      </c>
      <c r="G25" s="74"/>
      <c r="I25" s="2">
        <f>muB+sigmaB</f>
        <v>3</v>
      </c>
      <c r="J25" s="74"/>
    </row>
    <row r="26" spans="2:10" x14ac:dyDescent="0.3">
      <c r="B26" s="14"/>
      <c r="C26" s="13"/>
      <c r="D26" s="13"/>
      <c r="F26" s="2">
        <f>muA+sigmaA+0.00001</f>
        <v>1.0000100000000001</v>
      </c>
      <c r="G26" s="2">
        <v>0</v>
      </c>
      <c r="I26" s="2">
        <f>muB+sigmaB+0.00001</f>
        <v>3.0000100000000001</v>
      </c>
      <c r="J26" s="2">
        <v>0</v>
      </c>
    </row>
    <row r="27" spans="2:10" x14ac:dyDescent="0.3">
      <c r="B27" s="14"/>
      <c r="C27" s="13"/>
      <c r="D27" s="13"/>
      <c r="F27" s="2">
        <f>B211</f>
        <v>0</v>
      </c>
      <c r="G27" s="2">
        <v>0</v>
      </c>
      <c r="I27" s="2">
        <f>E211</f>
        <v>0</v>
      </c>
      <c r="J27" s="2">
        <v>0</v>
      </c>
    </row>
    <row r="28" spans="2:10" x14ac:dyDescent="0.3">
      <c r="B28" s="14"/>
      <c r="C28" s="13"/>
      <c r="D28" s="13"/>
    </row>
    <row r="29" spans="2:10" x14ac:dyDescent="0.3">
      <c r="B29" s="14"/>
      <c r="C29" s="13"/>
      <c r="D29" s="13"/>
    </row>
    <row r="30" spans="2:10" x14ac:dyDescent="0.3">
      <c r="B30" s="14"/>
      <c r="C30" s="13"/>
      <c r="D30" s="13"/>
    </row>
    <row r="31" spans="2:10" x14ac:dyDescent="0.3">
      <c r="B31" s="14"/>
      <c r="C31" s="13"/>
      <c r="D31" s="13"/>
    </row>
    <row r="32" spans="2:10" x14ac:dyDescent="0.3">
      <c r="B32" s="14"/>
      <c r="C32" s="13"/>
      <c r="D32" s="13"/>
    </row>
    <row r="33" spans="2:4" x14ac:dyDescent="0.3">
      <c r="B33" s="14"/>
      <c r="C33" s="13"/>
      <c r="D33" s="13"/>
    </row>
    <row r="34" spans="2:4" x14ac:dyDescent="0.3">
      <c r="B34" s="14"/>
      <c r="C34" s="13"/>
      <c r="D34" s="13"/>
    </row>
    <row r="35" spans="2:4" x14ac:dyDescent="0.3">
      <c r="B35" s="14"/>
      <c r="C35" s="13"/>
      <c r="D35" s="13"/>
    </row>
    <row r="36" spans="2:4" x14ac:dyDescent="0.3">
      <c r="B36" s="14"/>
      <c r="C36" s="13"/>
      <c r="D36" s="13"/>
    </row>
    <row r="37" spans="2:4" x14ac:dyDescent="0.3">
      <c r="B37" s="14"/>
      <c r="C37" s="13"/>
      <c r="D37" s="13"/>
    </row>
    <row r="38" spans="2:4" x14ac:dyDescent="0.3">
      <c r="B38" s="14"/>
      <c r="C38" s="13"/>
      <c r="D38" s="13"/>
    </row>
    <row r="39" spans="2:4" x14ac:dyDescent="0.3">
      <c r="B39" s="14"/>
      <c r="C39" s="13"/>
      <c r="D39" s="13"/>
    </row>
    <row r="40" spans="2:4" x14ac:dyDescent="0.3">
      <c r="B40" s="14"/>
      <c r="C40" s="13"/>
      <c r="D40" s="13"/>
    </row>
    <row r="41" spans="2:4" x14ac:dyDescent="0.3">
      <c r="B41" s="14"/>
      <c r="C41" s="13"/>
      <c r="D41" s="13"/>
    </row>
    <row r="42" spans="2:4" x14ac:dyDescent="0.3">
      <c r="B42" s="14"/>
      <c r="C42" s="13"/>
      <c r="D42" s="13"/>
    </row>
    <row r="43" spans="2:4" x14ac:dyDescent="0.3">
      <c r="B43" s="14"/>
      <c r="C43" s="13"/>
      <c r="D43" s="13"/>
    </row>
    <row r="44" spans="2:4" x14ac:dyDescent="0.3">
      <c r="B44" s="14"/>
      <c r="C44" s="13"/>
      <c r="D44" s="13"/>
    </row>
    <row r="45" spans="2:4" x14ac:dyDescent="0.3">
      <c r="B45" s="14"/>
      <c r="C45" s="13"/>
      <c r="D45" s="13"/>
    </row>
    <row r="46" spans="2:4" x14ac:dyDescent="0.3">
      <c r="B46" s="14"/>
      <c r="C46" s="13"/>
      <c r="D46" s="13"/>
    </row>
    <row r="47" spans="2:4" x14ac:dyDescent="0.3">
      <c r="B47" s="14"/>
      <c r="C47" s="13"/>
      <c r="D47" s="13"/>
    </row>
    <row r="48" spans="2:4" x14ac:dyDescent="0.3">
      <c r="B48" s="14"/>
      <c r="C48" s="13"/>
      <c r="D48" s="13"/>
    </row>
    <row r="49" spans="2:4" x14ac:dyDescent="0.3">
      <c r="B49" s="14"/>
      <c r="C49" s="13"/>
      <c r="D49" s="13"/>
    </row>
    <row r="50" spans="2:4" x14ac:dyDescent="0.3">
      <c r="B50" s="14"/>
      <c r="C50" s="13"/>
      <c r="D50" s="13"/>
    </row>
    <row r="51" spans="2:4" x14ac:dyDescent="0.3">
      <c r="B51" s="14"/>
      <c r="C51" s="13"/>
      <c r="D51" s="13"/>
    </row>
    <row r="52" spans="2:4" x14ac:dyDescent="0.3">
      <c r="B52" s="14"/>
      <c r="C52" s="13"/>
      <c r="D52" s="13"/>
    </row>
    <row r="53" spans="2:4" x14ac:dyDescent="0.3">
      <c r="B53" s="14"/>
      <c r="C53" s="13"/>
      <c r="D53" s="13"/>
    </row>
    <row r="54" spans="2:4" x14ac:dyDescent="0.3">
      <c r="B54" s="14"/>
      <c r="C54" s="13"/>
      <c r="D54" s="13"/>
    </row>
    <row r="55" spans="2:4" x14ac:dyDescent="0.3">
      <c r="B55" s="14"/>
      <c r="C55" s="13"/>
      <c r="D55" s="13"/>
    </row>
    <row r="56" spans="2:4" x14ac:dyDescent="0.3">
      <c r="B56" s="14"/>
      <c r="C56" s="13"/>
      <c r="D56" s="13"/>
    </row>
    <row r="57" spans="2:4" x14ac:dyDescent="0.3">
      <c r="B57" s="14"/>
      <c r="C57" s="13"/>
      <c r="D57" s="13"/>
    </row>
    <row r="58" spans="2:4" x14ac:dyDescent="0.3">
      <c r="B58" s="14"/>
      <c r="C58" s="13"/>
      <c r="D58" s="13"/>
    </row>
    <row r="59" spans="2:4" x14ac:dyDescent="0.3">
      <c r="B59" s="14"/>
      <c r="C59" s="13"/>
      <c r="D59" s="13"/>
    </row>
    <row r="60" spans="2:4" x14ac:dyDescent="0.3">
      <c r="B60" s="14"/>
      <c r="C60" s="13"/>
      <c r="D60" s="13"/>
    </row>
    <row r="61" spans="2:4" x14ac:dyDescent="0.3">
      <c r="B61" s="14"/>
      <c r="C61" s="13"/>
      <c r="D61" s="13"/>
    </row>
    <row r="62" spans="2:4" x14ac:dyDescent="0.3">
      <c r="B62" s="14"/>
      <c r="C62" s="13"/>
      <c r="D62" s="13"/>
    </row>
    <row r="63" spans="2:4" x14ac:dyDescent="0.3">
      <c r="B63" s="14"/>
      <c r="C63" s="13"/>
      <c r="D63" s="13"/>
    </row>
    <row r="64" spans="2:4" x14ac:dyDescent="0.3">
      <c r="B64" s="14"/>
      <c r="C64" s="13"/>
      <c r="D64" s="13"/>
    </row>
    <row r="65" spans="2:4" x14ac:dyDescent="0.3">
      <c r="B65" s="14"/>
      <c r="C65" s="13"/>
      <c r="D65" s="13"/>
    </row>
    <row r="66" spans="2:4" x14ac:dyDescent="0.3">
      <c r="B66" s="14"/>
      <c r="C66" s="13"/>
      <c r="D66" s="13"/>
    </row>
    <row r="67" spans="2:4" x14ac:dyDescent="0.3">
      <c r="B67" s="14"/>
      <c r="C67" s="13"/>
      <c r="D67" s="13"/>
    </row>
    <row r="68" spans="2:4" x14ac:dyDescent="0.3">
      <c r="B68" s="14"/>
      <c r="C68" s="13"/>
      <c r="D68" s="13"/>
    </row>
    <row r="69" spans="2:4" x14ac:dyDescent="0.3">
      <c r="B69" s="14"/>
      <c r="C69" s="13"/>
      <c r="D69" s="13"/>
    </row>
    <row r="70" spans="2:4" x14ac:dyDescent="0.3">
      <c r="B70" s="14"/>
      <c r="C70" s="13"/>
      <c r="D70" s="13"/>
    </row>
    <row r="71" spans="2:4" x14ac:dyDescent="0.3">
      <c r="B71" s="14"/>
      <c r="C71" s="13"/>
      <c r="D71" s="13"/>
    </row>
    <row r="72" spans="2:4" x14ac:dyDescent="0.3">
      <c r="B72" s="14"/>
      <c r="C72" s="13"/>
      <c r="D72" s="13"/>
    </row>
    <row r="73" spans="2:4" x14ac:dyDescent="0.3">
      <c r="B73" s="14"/>
      <c r="C73" s="13"/>
      <c r="D73" s="13"/>
    </row>
    <row r="74" spans="2:4" x14ac:dyDescent="0.3">
      <c r="B74" s="14"/>
      <c r="C74" s="13"/>
      <c r="D74" s="13"/>
    </row>
    <row r="75" spans="2:4" x14ac:dyDescent="0.3">
      <c r="B75" s="14"/>
      <c r="C75" s="13"/>
      <c r="D75" s="13"/>
    </row>
    <row r="76" spans="2:4" x14ac:dyDescent="0.3">
      <c r="B76" s="14"/>
      <c r="C76" s="13"/>
      <c r="D76" s="13"/>
    </row>
    <row r="77" spans="2:4" x14ac:dyDescent="0.3">
      <c r="B77" s="14"/>
      <c r="C77" s="13"/>
      <c r="D77" s="13"/>
    </row>
    <row r="78" spans="2:4" x14ac:dyDescent="0.3">
      <c r="B78" s="14"/>
      <c r="C78" s="13"/>
      <c r="D78" s="13"/>
    </row>
    <row r="79" spans="2:4" x14ac:dyDescent="0.3">
      <c r="B79" s="14"/>
      <c r="C79" s="13"/>
      <c r="D79" s="13"/>
    </row>
    <row r="80" spans="2:4" x14ac:dyDescent="0.3">
      <c r="B80" s="14"/>
      <c r="C80" s="13"/>
      <c r="D80" s="13"/>
    </row>
    <row r="81" spans="2:4" x14ac:dyDescent="0.3">
      <c r="B81" s="14"/>
      <c r="C81" s="13"/>
      <c r="D81" s="13"/>
    </row>
    <row r="82" spans="2:4" x14ac:dyDescent="0.3">
      <c r="B82" s="14"/>
      <c r="C82" s="13"/>
      <c r="D82" s="13"/>
    </row>
    <row r="83" spans="2:4" x14ac:dyDescent="0.3">
      <c r="B83" s="14"/>
      <c r="C83" s="13"/>
      <c r="D83" s="13"/>
    </row>
    <row r="84" spans="2:4" x14ac:dyDescent="0.3">
      <c r="B84" s="14"/>
      <c r="C84" s="13"/>
      <c r="D84" s="13"/>
    </row>
    <row r="85" spans="2:4" x14ac:dyDescent="0.3">
      <c r="B85" s="14"/>
      <c r="C85" s="13"/>
      <c r="D85" s="13"/>
    </row>
    <row r="86" spans="2:4" x14ac:dyDescent="0.3">
      <c r="B86" s="14"/>
      <c r="C86" s="13"/>
      <c r="D86" s="13"/>
    </row>
    <row r="87" spans="2:4" x14ac:dyDescent="0.3">
      <c r="B87" s="14"/>
      <c r="C87" s="13"/>
      <c r="D87" s="13"/>
    </row>
    <row r="88" spans="2:4" x14ac:dyDescent="0.3">
      <c r="B88" s="14"/>
      <c r="C88" s="13"/>
      <c r="D88" s="13"/>
    </row>
    <row r="89" spans="2:4" x14ac:dyDescent="0.3">
      <c r="B89" s="14"/>
      <c r="C89" s="13"/>
      <c r="D89" s="13"/>
    </row>
    <row r="90" spans="2:4" x14ac:dyDescent="0.3">
      <c r="B90" s="14"/>
      <c r="C90" s="13"/>
      <c r="D90" s="13"/>
    </row>
    <row r="91" spans="2:4" x14ac:dyDescent="0.3">
      <c r="B91" s="14"/>
      <c r="C91" s="13"/>
      <c r="D91" s="13"/>
    </row>
    <row r="92" spans="2:4" x14ac:dyDescent="0.3">
      <c r="B92" s="14"/>
      <c r="C92" s="13"/>
      <c r="D92" s="13"/>
    </row>
    <row r="93" spans="2:4" x14ac:dyDescent="0.3">
      <c r="B93" s="14"/>
      <c r="C93" s="13"/>
      <c r="D93" s="13"/>
    </row>
    <row r="94" spans="2:4" x14ac:dyDescent="0.3">
      <c r="B94" s="14"/>
      <c r="C94" s="13"/>
      <c r="D94" s="13"/>
    </row>
    <row r="95" spans="2:4" x14ac:dyDescent="0.3">
      <c r="B95" s="14"/>
      <c r="C95" s="13"/>
      <c r="D95" s="13"/>
    </row>
    <row r="96" spans="2:4" x14ac:dyDescent="0.3">
      <c r="B96" s="14"/>
      <c r="C96" s="13"/>
      <c r="D96" s="13"/>
    </row>
    <row r="97" spans="2:4" x14ac:dyDescent="0.3">
      <c r="B97" s="14"/>
      <c r="C97" s="13"/>
      <c r="D97" s="13"/>
    </row>
    <row r="98" spans="2:4" x14ac:dyDescent="0.3">
      <c r="B98" s="14"/>
      <c r="C98" s="13"/>
      <c r="D98" s="13"/>
    </row>
    <row r="99" spans="2:4" x14ac:dyDescent="0.3">
      <c r="B99" s="14"/>
      <c r="C99" s="13"/>
      <c r="D99" s="13"/>
    </row>
    <row r="100" spans="2:4" x14ac:dyDescent="0.3">
      <c r="B100" s="14"/>
      <c r="C100" s="13"/>
      <c r="D100" s="13"/>
    </row>
    <row r="101" spans="2:4" x14ac:dyDescent="0.3">
      <c r="B101" s="14"/>
      <c r="C101" s="13"/>
      <c r="D101" s="13"/>
    </row>
    <row r="102" spans="2:4" x14ac:dyDescent="0.3">
      <c r="B102" s="14"/>
      <c r="C102" s="13"/>
      <c r="D102" s="13"/>
    </row>
    <row r="103" spans="2:4" x14ac:dyDescent="0.3">
      <c r="B103" s="14"/>
      <c r="C103" s="13"/>
      <c r="D103" s="13"/>
    </row>
    <row r="104" spans="2:4" x14ac:dyDescent="0.3">
      <c r="B104" s="14"/>
      <c r="C104" s="13"/>
      <c r="D104" s="13"/>
    </row>
    <row r="105" spans="2:4" x14ac:dyDescent="0.3">
      <c r="B105" s="14"/>
      <c r="C105" s="13"/>
      <c r="D105" s="13"/>
    </row>
    <row r="106" spans="2:4" x14ac:dyDescent="0.3">
      <c r="B106" s="14"/>
      <c r="C106" s="13"/>
      <c r="D106" s="13"/>
    </row>
    <row r="107" spans="2:4" x14ac:dyDescent="0.3">
      <c r="B107" s="14"/>
      <c r="C107" s="13"/>
      <c r="D107" s="13"/>
    </row>
    <row r="108" spans="2:4" x14ac:dyDescent="0.3">
      <c r="B108" s="14"/>
      <c r="C108" s="13"/>
      <c r="D108" s="13"/>
    </row>
    <row r="109" spans="2:4" x14ac:dyDescent="0.3">
      <c r="B109" s="14"/>
      <c r="C109" s="13"/>
      <c r="D109" s="13"/>
    </row>
    <row r="110" spans="2:4" x14ac:dyDescent="0.3">
      <c r="B110" s="14"/>
      <c r="C110" s="13"/>
      <c r="D110" s="13"/>
    </row>
    <row r="111" spans="2:4" x14ac:dyDescent="0.3">
      <c r="B111" s="14"/>
      <c r="C111" s="13"/>
      <c r="D111" s="13"/>
    </row>
    <row r="112" spans="2:4" x14ac:dyDescent="0.3">
      <c r="B112" s="14"/>
      <c r="C112" s="13"/>
      <c r="D112" s="13"/>
    </row>
    <row r="113" spans="2:4" x14ac:dyDescent="0.3">
      <c r="B113" s="14"/>
      <c r="C113" s="13"/>
      <c r="D113" s="13"/>
    </row>
    <row r="114" spans="2:4" x14ac:dyDescent="0.3">
      <c r="B114" s="14"/>
      <c r="C114" s="13"/>
      <c r="D114" s="13"/>
    </row>
    <row r="115" spans="2:4" x14ac:dyDescent="0.3">
      <c r="B115" s="14"/>
      <c r="C115" s="13"/>
      <c r="D115" s="13"/>
    </row>
    <row r="116" spans="2:4" x14ac:dyDescent="0.3">
      <c r="B116" s="14"/>
      <c r="C116" s="13"/>
      <c r="D116" s="13"/>
    </row>
    <row r="117" spans="2:4" x14ac:dyDescent="0.3">
      <c r="B117" s="14"/>
      <c r="C117" s="13"/>
      <c r="D117" s="13"/>
    </row>
    <row r="118" spans="2:4" x14ac:dyDescent="0.3">
      <c r="B118" s="14"/>
      <c r="C118" s="13"/>
      <c r="D118" s="13"/>
    </row>
    <row r="119" spans="2:4" x14ac:dyDescent="0.3">
      <c r="B119" s="14"/>
      <c r="C119" s="13"/>
      <c r="D119" s="13"/>
    </row>
    <row r="120" spans="2:4" x14ac:dyDescent="0.3">
      <c r="B120" s="14"/>
      <c r="C120" s="13"/>
      <c r="D120" s="13"/>
    </row>
    <row r="121" spans="2:4" x14ac:dyDescent="0.3">
      <c r="B121" s="14"/>
      <c r="C121" s="13"/>
      <c r="D121" s="13"/>
    </row>
    <row r="122" spans="2:4" x14ac:dyDescent="0.3">
      <c r="B122" s="14"/>
      <c r="C122" s="13"/>
      <c r="D122" s="13"/>
    </row>
    <row r="123" spans="2:4" x14ac:dyDescent="0.3">
      <c r="B123" s="14"/>
      <c r="C123" s="13"/>
      <c r="D123" s="13"/>
    </row>
    <row r="124" spans="2:4" x14ac:dyDescent="0.3">
      <c r="B124" s="14"/>
      <c r="C124" s="13"/>
      <c r="D124" s="13"/>
    </row>
    <row r="125" spans="2:4" x14ac:dyDescent="0.3">
      <c r="B125" s="14"/>
      <c r="C125" s="13"/>
      <c r="D125" s="13"/>
    </row>
    <row r="126" spans="2:4" x14ac:dyDescent="0.3">
      <c r="B126" s="14"/>
      <c r="C126" s="13"/>
      <c r="D126" s="13"/>
    </row>
    <row r="127" spans="2:4" x14ac:dyDescent="0.3">
      <c r="B127" s="14"/>
      <c r="C127" s="13"/>
      <c r="D127" s="13"/>
    </row>
    <row r="128" spans="2:4" x14ac:dyDescent="0.3">
      <c r="B128" s="14"/>
      <c r="C128" s="13"/>
      <c r="D128" s="13"/>
    </row>
    <row r="129" spans="2:4" x14ac:dyDescent="0.3">
      <c r="B129" s="14"/>
      <c r="C129" s="13"/>
      <c r="D129" s="13"/>
    </row>
    <row r="130" spans="2:4" x14ac:dyDescent="0.3">
      <c r="B130" s="14"/>
      <c r="C130" s="13"/>
      <c r="D130" s="13"/>
    </row>
    <row r="131" spans="2:4" x14ac:dyDescent="0.3">
      <c r="B131" s="14"/>
      <c r="C131" s="13"/>
      <c r="D131" s="13"/>
    </row>
    <row r="132" spans="2:4" x14ac:dyDescent="0.3">
      <c r="B132" s="14"/>
      <c r="C132" s="13"/>
      <c r="D132" s="13"/>
    </row>
    <row r="133" spans="2:4" x14ac:dyDescent="0.3">
      <c r="B133" s="14"/>
      <c r="C133" s="13"/>
      <c r="D133" s="13"/>
    </row>
    <row r="134" spans="2:4" x14ac:dyDescent="0.3">
      <c r="B134" s="14"/>
      <c r="C134" s="13"/>
      <c r="D134" s="13"/>
    </row>
    <row r="135" spans="2:4" x14ac:dyDescent="0.3">
      <c r="B135" s="14"/>
      <c r="C135" s="13"/>
      <c r="D135" s="13"/>
    </row>
    <row r="136" spans="2:4" x14ac:dyDescent="0.3">
      <c r="B136" s="14"/>
      <c r="C136" s="13"/>
      <c r="D136" s="13"/>
    </row>
    <row r="137" spans="2:4" x14ac:dyDescent="0.3">
      <c r="B137" s="14"/>
      <c r="C137" s="13"/>
      <c r="D137" s="13"/>
    </row>
    <row r="138" spans="2:4" x14ac:dyDescent="0.3">
      <c r="B138" s="14"/>
      <c r="C138" s="13"/>
      <c r="D138" s="13"/>
    </row>
    <row r="139" spans="2:4" x14ac:dyDescent="0.3">
      <c r="B139" s="14"/>
      <c r="C139" s="13"/>
      <c r="D139" s="13"/>
    </row>
    <row r="140" spans="2:4" x14ac:dyDescent="0.3">
      <c r="B140" s="14"/>
      <c r="C140" s="13"/>
      <c r="D140" s="13"/>
    </row>
    <row r="141" spans="2:4" x14ac:dyDescent="0.3">
      <c r="B141" s="14"/>
      <c r="C141" s="13"/>
      <c r="D141" s="13"/>
    </row>
    <row r="142" spans="2:4" x14ac:dyDescent="0.3">
      <c r="B142" s="14"/>
      <c r="C142" s="13"/>
      <c r="D142" s="13"/>
    </row>
    <row r="143" spans="2:4" x14ac:dyDescent="0.3">
      <c r="B143" s="14"/>
      <c r="C143" s="13"/>
      <c r="D143" s="13"/>
    </row>
    <row r="144" spans="2:4" x14ac:dyDescent="0.3">
      <c r="B144" s="14"/>
      <c r="C144" s="13"/>
      <c r="D144" s="13"/>
    </row>
    <row r="145" spans="2:4" x14ac:dyDescent="0.3">
      <c r="B145" s="14"/>
      <c r="C145" s="13"/>
      <c r="D145" s="13"/>
    </row>
    <row r="146" spans="2:4" x14ac:dyDescent="0.3">
      <c r="B146" s="14"/>
      <c r="C146" s="13"/>
      <c r="D146" s="13"/>
    </row>
    <row r="147" spans="2:4" x14ac:dyDescent="0.3">
      <c r="B147" s="14"/>
      <c r="C147" s="13"/>
      <c r="D147" s="13"/>
    </row>
    <row r="148" spans="2:4" x14ac:dyDescent="0.3">
      <c r="B148" s="14"/>
      <c r="C148" s="13"/>
      <c r="D148" s="13"/>
    </row>
    <row r="149" spans="2:4" x14ac:dyDescent="0.3">
      <c r="B149" s="14"/>
      <c r="C149" s="13"/>
      <c r="D149" s="13"/>
    </row>
    <row r="150" spans="2:4" x14ac:dyDescent="0.3">
      <c r="B150" s="14"/>
      <c r="C150" s="13"/>
      <c r="D150" s="13"/>
    </row>
    <row r="151" spans="2:4" x14ac:dyDescent="0.3">
      <c r="B151" s="14"/>
      <c r="C151" s="13"/>
      <c r="D151" s="13"/>
    </row>
    <row r="152" spans="2:4" x14ac:dyDescent="0.3">
      <c r="B152" s="14"/>
      <c r="C152" s="13"/>
      <c r="D152" s="13"/>
    </row>
    <row r="153" spans="2:4" x14ac:dyDescent="0.3">
      <c r="B153" s="14"/>
      <c r="C153" s="13"/>
      <c r="D153" s="13"/>
    </row>
    <row r="154" spans="2:4" x14ac:dyDescent="0.3">
      <c r="B154" s="14"/>
      <c r="C154" s="13"/>
      <c r="D154" s="13"/>
    </row>
    <row r="155" spans="2:4" x14ac:dyDescent="0.3">
      <c r="B155" s="14"/>
      <c r="C155" s="13"/>
      <c r="D155" s="13"/>
    </row>
    <row r="156" spans="2:4" x14ac:dyDescent="0.3">
      <c r="B156" s="14"/>
      <c r="C156" s="13"/>
      <c r="D156" s="13"/>
    </row>
    <row r="157" spans="2:4" x14ac:dyDescent="0.3">
      <c r="B157" s="14"/>
      <c r="C157" s="13"/>
      <c r="D157" s="13"/>
    </row>
    <row r="158" spans="2:4" x14ac:dyDescent="0.3">
      <c r="B158" s="14"/>
      <c r="C158" s="13"/>
      <c r="D158" s="13"/>
    </row>
    <row r="159" spans="2:4" x14ac:dyDescent="0.3">
      <c r="B159" s="14"/>
      <c r="C159" s="13"/>
      <c r="D159" s="13"/>
    </row>
    <row r="160" spans="2:4" x14ac:dyDescent="0.3">
      <c r="B160" s="14"/>
      <c r="C160" s="13"/>
      <c r="D160" s="13"/>
    </row>
    <row r="161" spans="2:4" x14ac:dyDescent="0.3">
      <c r="B161" s="14"/>
      <c r="C161" s="13"/>
      <c r="D161" s="13"/>
    </row>
    <row r="162" spans="2:4" x14ac:dyDescent="0.3">
      <c r="B162" s="14"/>
      <c r="C162" s="13"/>
      <c r="D162" s="13"/>
    </row>
    <row r="163" spans="2:4" x14ac:dyDescent="0.3">
      <c r="B163" s="14"/>
      <c r="C163" s="13"/>
      <c r="D163" s="13"/>
    </row>
    <row r="164" spans="2:4" x14ac:dyDescent="0.3">
      <c r="B164" s="14"/>
      <c r="C164" s="13"/>
      <c r="D164" s="13"/>
    </row>
    <row r="165" spans="2:4" x14ac:dyDescent="0.3">
      <c r="B165" s="14"/>
      <c r="C165" s="13"/>
      <c r="D165" s="13"/>
    </row>
    <row r="166" spans="2:4" x14ac:dyDescent="0.3">
      <c r="B166" s="14"/>
      <c r="C166" s="13"/>
      <c r="D166" s="13"/>
    </row>
    <row r="167" spans="2:4" x14ac:dyDescent="0.3">
      <c r="B167" s="14"/>
      <c r="C167" s="13"/>
      <c r="D167" s="13"/>
    </row>
    <row r="168" spans="2:4" x14ac:dyDescent="0.3">
      <c r="B168" s="14"/>
      <c r="C168" s="13"/>
      <c r="D168" s="13"/>
    </row>
    <row r="169" spans="2:4" x14ac:dyDescent="0.3">
      <c r="B169" s="14"/>
      <c r="C169" s="13"/>
      <c r="D169" s="13"/>
    </row>
    <row r="170" spans="2:4" x14ac:dyDescent="0.3">
      <c r="B170" s="14"/>
      <c r="C170" s="13"/>
      <c r="D170" s="13"/>
    </row>
    <row r="171" spans="2:4" x14ac:dyDescent="0.3">
      <c r="B171" s="14"/>
      <c r="C171" s="13"/>
      <c r="D171" s="13"/>
    </row>
    <row r="172" spans="2:4" x14ac:dyDescent="0.3">
      <c r="B172" s="14"/>
      <c r="C172" s="13"/>
      <c r="D172" s="13"/>
    </row>
    <row r="173" spans="2:4" x14ac:dyDescent="0.3">
      <c r="B173" s="14"/>
      <c r="C173" s="13"/>
      <c r="D173" s="13"/>
    </row>
    <row r="174" spans="2:4" x14ac:dyDescent="0.3">
      <c r="B174" s="14"/>
      <c r="C174" s="13"/>
      <c r="D174" s="13"/>
    </row>
    <row r="175" spans="2:4" x14ac:dyDescent="0.3">
      <c r="B175" s="14"/>
      <c r="C175" s="13"/>
      <c r="D175" s="13"/>
    </row>
    <row r="176" spans="2:4" x14ac:dyDescent="0.3">
      <c r="B176" s="14"/>
      <c r="C176" s="13"/>
      <c r="D176" s="13"/>
    </row>
    <row r="177" spans="2:4" x14ac:dyDescent="0.3">
      <c r="B177" s="14"/>
      <c r="C177" s="13"/>
      <c r="D177" s="13"/>
    </row>
    <row r="178" spans="2:4" x14ac:dyDescent="0.3">
      <c r="B178" s="14"/>
      <c r="C178" s="13"/>
      <c r="D178" s="13"/>
    </row>
    <row r="179" spans="2:4" x14ac:dyDescent="0.3">
      <c r="B179" s="14"/>
      <c r="C179" s="13"/>
      <c r="D179" s="13"/>
    </row>
    <row r="180" spans="2:4" x14ac:dyDescent="0.3">
      <c r="B180" s="14"/>
      <c r="C180" s="13"/>
      <c r="D180" s="13"/>
    </row>
    <row r="181" spans="2:4" x14ac:dyDescent="0.3">
      <c r="B181" s="14"/>
      <c r="C181" s="13"/>
      <c r="D181" s="13"/>
    </row>
    <row r="182" spans="2:4" x14ac:dyDescent="0.3">
      <c r="B182" s="14"/>
      <c r="C182" s="13"/>
      <c r="D182" s="13"/>
    </row>
    <row r="183" spans="2:4" x14ac:dyDescent="0.3">
      <c r="B183" s="14"/>
      <c r="C183" s="13"/>
      <c r="D183" s="13"/>
    </row>
    <row r="184" spans="2:4" x14ac:dyDescent="0.3">
      <c r="B184" s="14"/>
      <c r="C184" s="13"/>
      <c r="D184" s="13"/>
    </row>
    <row r="185" spans="2:4" x14ac:dyDescent="0.3">
      <c r="B185" s="14"/>
      <c r="C185" s="13"/>
      <c r="D185" s="13"/>
    </row>
    <row r="186" spans="2:4" x14ac:dyDescent="0.3">
      <c r="B186" s="14"/>
      <c r="C186" s="13"/>
      <c r="D186" s="13"/>
    </row>
    <row r="187" spans="2:4" x14ac:dyDescent="0.3">
      <c r="B187" s="14"/>
      <c r="C187" s="13"/>
      <c r="D187" s="13"/>
    </row>
    <row r="188" spans="2:4" x14ac:dyDescent="0.3">
      <c r="B188" s="14"/>
      <c r="C188" s="13"/>
      <c r="D188" s="13"/>
    </row>
    <row r="189" spans="2:4" x14ac:dyDescent="0.3">
      <c r="B189" s="14"/>
      <c r="C189" s="13"/>
      <c r="D189" s="13"/>
    </row>
    <row r="190" spans="2:4" x14ac:dyDescent="0.3">
      <c r="B190" s="14"/>
      <c r="C190" s="13"/>
      <c r="D190" s="13"/>
    </row>
    <row r="191" spans="2:4" x14ac:dyDescent="0.3">
      <c r="B191" s="14"/>
      <c r="C191" s="13"/>
      <c r="D191" s="13"/>
    </row>
    <row r="192" spans="2:4" x14ac:dyDescent="0.3">
      <c r="B192" s="14"/>
      <c r="C192" s="13"/>
      <c r="D192" s="13"/>
    </row>
    <row r="193" spans="2:4" x14ac:dyDescent="0.3">
      <c r="B193" s="14"/>
      <c r="C193" s="13"/>
      <c r="D193" s="13"/>
    </row>
    <row r="194" spans="2:4" x14ac:dyDescent="0.3">
      <c r="B194" s="14"/>
      <c r="C194" s="13"/>
      <c r="D194" s="13"/>
    </row>
    <row r="195" spans="2:4" x14ac:dyDescent="0.3">
      <c r="B195" s="14"/>
      <c r="C195" s="13"/>
      <c r="D195" s="13"/>
    </row>
    <row r="196" spans="2:4" x14ac:dyDescent="0.3">
      <c r="B196" s="14"/>
      <c r="C196" s="13"/>
      <c r="D196" s="13"/>
    </row>
    <row r="197" spans="2:4" x14ac:dyDescent="0.3">
      <c r="B197" s="14"/>
      <c r="C197" s="13"/>
      <c r="D197" s="13"/>
    </row>
    <row r="198" spans="2:4" x14ac:dyDescent="0.3">
      <c r="B198" s="14"/>
      <c r="C198" s="13"/>
      <c r="D198" s="13"/>
    </row>
    <row r="199" spans="2:4" x14ac:dyDescent="0.3">
      <c r="B199" s="14"/>
      <c r="C199" s="13"/>
      <c r="D199" s="13"/>
    </row>
    <row r="200" spans="2:4" x14ac:dyDescent="0.3">
      <c r="B200" s="14"/>
      <c r="C200" s="13"/>
      <c r="D200" s="13"/>
    </row>
    <row r="201" spans="2:4" x14ac:dyDescent="0.3">
      <c r="B201" s="14"/>
      <c r="C201" s="13"/>
      <c r="D201" s="13"/>
    </row>
    <row r="202" spans="2:4" x14ac:dyDescent="0.3">
      <c r="B202" s="14"/>
      <c r="C202" s="13"/>
      <c r="D202" s="13"/>
    </row>
    <row r="203" spans="2:4" x14ac:dyDescent="0.3">
      <c r="B203" s="14"/>
      <c r="C203" s="13"/>
      <c r="D203" s="13"/>
    </row>
    <row r="204" spans="2:4" x14ac:dyDescent="0.3">
      <c r="B204" s="14"/>
      <c r="C204" s="13"/>
      <c r="D204" s="13"/>
    </row>
    <row r="205" spans="2:4" x14ac:dyDescent="0.3">
      <c r="B205" s="14"/>
      <c r="C205" s="13"/>
      <c r="D205" s="13"/>
    </row>
    <row r="206" spans="2:4" x14ac:dyDescent="0.3">
      <c r="B206" s="14"/>
      <c r="C206" s="13"/>
      <c r="D206" s="13"/>
    </row>
    <row r="207" spans="2:4" x14ac:dyDescent="0.3">
      <c r="B207" s="14"/>
      <c r="C207" s="13"/>
      <c r="D207" s="13"/>
    </row>
    <row r="208" spans="2:4" x14ac:dyDescent="0.3">
      <c r="B208" s="14"/>
      <c r="C208" s="13"/>
      <c r="D208" s="13"/>
    </row>
    <row r="209" spans="2:4" x14ac:dyDescent="0.3">
      <c r="B209" s="14"/>
      <c r="C209" s="13"/>
      <c r="D209" s="13"/>
    </row>
    <row r="210" spans="2:4" x14ac:dyDescent="0.3">
      <c r="B210" s="14"/>
      <c r="C210" s="13"/>
      <c r="D210" s="13"/>
    </row>
    <row r="211" spans="2:4" x14ac:dyDescent="0.3">
      <c r="B211" s="14"/>
      <c r="C211" s="13"/>
      <c r="D211" s="13"/>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A1831-D4F3-4147-9BFD-A087D968708C}">
  <sheetPr codeName="Sheet7"/>
  <dimension ref="A1:P215"/>
  <sheetViews>
    <sheetView zoomScale="55" zoomScaleNormal="55" workbookViewId="0">
      <selection activeCell="C17" sqref="C17"/>
    </sheetView>
  </sheetViews>
  <sheetFormatPr defaultColWidth="8.6640625" defaultRowHeight="14.4" x14ac:dyDescent="0.3"/>
  <cols>
    <col min="1" max="1" width="8.6640625" style="2"/>
    <col min="2" max="2" width="16.88671875" style="2" customWidth="1"/>
    <col min="3" max="4" width="10.44140625" style="2" customWidth="1"/>
    <col min="5" max="5" width="9.88671875" style="2" customWidth="1"/>
    <col min="6" max="18" width="8.6640625" style="2"/>
    <col min="19" max="20" width="12" style="2" bestFit="1" customWidth="1"/>
    <col min="21" max="16384" width="8.6640625" style="2"/>
  </cols>
  <sheetData>
    <row r="1" spans="1:16" s="36" customFormat="1" ht="25.8" x14ac:dyDescent="0.5">
      <c r="A1" s="36" t="s">
        <v>37</v>
      </c>
    </row>
    <row r="2" spans="1:16" s="1" customFormat="1" x14ac:dyDescent="0.3"/>
    <row r="3" spans="1:16" x14ac:dyDescent="0.3">
      <c r="P3" s="54">
        <v>0</v>
      </c>
    </row>
    <row r="4" spans="1:16" x14ac:dyDescent="0.3">
      <c r="B4" s="19"/>
      <c r="C4" s="20" t="s">
        <v>6</v>
      </c>
      <c r="D4" s="20" t="s">
        <v>7</v>
      </c>
      <c r="E4" s="50" t="s">
        <v>30</v>
      </c>
      <c r="G4" s="51" t="s">
        <v>43</v>
      </c>
      <c r="H4" s="52"/>
    </row>
    <row r="5" spans="1:16" x14ac:dyDescent="0.3">
      <c r="B5" s="22" t="s">
        <v>44</v>
      </c>
      <c r="C5" s="6"/>
      <c r="D5" s="6"/>
      <c r="E5" s="24">
        <v>0.5</v>
      </c>
      <c r="G5" s="17"/>
      <c r="H5" s="17"/>
    </row>
    <row r="6" spans="1:16" x14ac:dyDescent="0.3">
      <c r="B6" s="22" t="s">
        <v>1</v>
      </c>
      <c r="C6" s="23">
        <v>0</v>
      </c>
      <c r="D6" s="23">
        <v>1</v>
      </c>
      <c r="E6" s="17"/>
      <c r="G6" s="75"/>
      <c r="H6" s="17"/>
    </row>
    <row r="7" spans="1:16" x14ac:dyDescent="0.3">
      <c r="B7" s="22" t="s">
        <v>2</v>
      </c>
      <c r="C7" s="23">
        <v>1</v>
      </c>
      <c r="D7" s="23">
        <v>2</v>
      </c>
      <c r="E7" s="7"/>
    </row>
    <row r="8" spans="1:16" x14ac:dyDescent="0.3">
      <c r="B8" s="22" t="s">
        <v>3</v>
      </c>
      <c r="C8" s="7">
        <f>_xlfn.NORM.INV(VaR_Threshold%,muA,sigmaA)</f>
        <v>-1.6448536269514726</v>
      </c>
      <c r="D8" s="7">
        <f>_xlfn.NORM.INV(VaR_Threshold%,muB,sigmaB)</f>
        <v>-2.2897072539029453</v>
      </c>
      <c r="E8" s="7"/>
    </row>
    <row r="9" spans="1:16" x14ac:dyDescent="0.3">
      <c r="B9" s="22" t="s">
        <v>4</v>
      </c>
      <c r="C9" s="7">
        <f>muA-sigmaA*(100/VaR_Threshold)*(1/SQRT(2*PI())*EXP(-0.5*NORMSINV(VaR_Threshold%)^2))</f>
        <v>-2.0627128075074266</v>
      </c>
      <c r="D9" s="7">
        <f>muB-sigmaB*(100/VaR_Threshold)*(1/SQRT(2*PI())*EXP(-0.5*NORMSINV(VaR_Threshold%)^2))</f>
        <v>-3.1254256150148532</v>
      </c>
      <c r="E9" s="7"/>
    </row>
    <row r="11" spans="1:16" x14ac:dyDescent="0.3">
      <c r="B11" s="22" t="s">
        <v>0</v>
      </c>
      <c r="C11" s="23">
        <v>5</v>
      </c>
    </row>
    <row r="12" spans="1:16" x14ac:dyDescent="0.3">
      <c r="B12" s="22" t="s">
        <v>10</v>
      </c>
      <c r="C12" s="53">
        <v>0.5</v>
      </c>
      <c r="D12" s="76">
        <f>(1-wtA)</f>
        <v>0.5</v>
      </c>
    </row>
    <row r="14" spans="1:16" x14ac:dyDescent="0.3">
      <c r="A14" s="2">
        <f>ABS((B215-B15)/200)</f>
        <v>0.08</v>
      </c>
      <c r="B14" s="20" t="s">
        <v>5</v>
      </c>
      <c r="C14" s="21" t="s">
        <v>6</v>
      </c>
      <c r="D14" s="21" t="s">
        <v>7</v>
      </c>
      <c r="E14" s="21" t="s">
        <v>30</v>
      </c>
    </row>
    <row r="15" spans="1:16" x14ac:dyDescent="0.3">
      <c r="B15" s="7">
        <f>MIN(muA-(4*sigmaA),muB-(4*sigmaB))</f>
        <v>-7</v>
      </c>
      <c r="C15" s="18">
        <f t="shared" ref="C15:C78" si="0">_xlfn.NORM.DIST($B15,muA,sigmaA,FALSE)</f>
        <v>9.1347204083645936E-12</v>
      </c>
      <c r="D15" s="18">
        <f t="shared" ref="D15:E78" si="1">_xlfn.NORM.DIST($B15,muB,sigmaB,FALSE)</f>
        <v>6.6915112882442684E-5</v>
      </c>
      <c r="E15" s="18"/>
    </row>
    <row r="16" spans="1:16" x14ac:dyDescent="0.3">
      <c r="B16" s="17">
        <f t="shared" ref="B16:B47" si="2">B15+$A$14</f>
        <v>-6.92</v>
      </c>
      <c r="C16" s="18">
        <f t="shared" si="0"/>
        <v>1.5940811515883886E-11</v>
      </c>
      <c r="D16" s="18">
        <f t="shared" si="1"/>
        <v>7.8462817032766131E-5</v>
      </c>
      <c r="E16" s="18"/>
    </row>
    <row r="17" spans="2:5" x14ac:dyDescent="0.3">
      <c r="B17" s="17">
        <f t="shared" si="2"/>
        <v>-6.84</v>
      </c>
      <c r="C17" s="18">
        <f t="shared" si="0"/>
        <v>2.7640513661679543E-11</v>
      </c>
      <c r="D17" s="18">
        <f t="shared" si="1"/>
        <v>9.1856249001228554E-5</v>
      </c>
      <c r="E17" s="18"/>
    </row>
    <row r="18" spans="2:5" x14ac:dyDescent="0.3">
      <c r="B18" s="17">
        <f t="shared" si="2"/>
        <v>-6.76</v>
      </c>
      <c r="C18" s="18">
        <f t="shared" si="0"/>
        <v>4.762141631915674E-11</v>
      </c>
      <c r="D18" s="18">
        <f t="shared" si="1"/>
        <v>1.0736399075018352E-4</v>
      </c>
      <c r="E18" s="18"/>
    </row>
    <row r="19" spans="2:5" x14ac:dyDescent="0.3">
      <c r="B19" s="17">
        <f t="shared" si="2"/>
        <v>-6.68</v>
      </c>
      <c r="C19" s="18">
        <f t="shared" si="0"/>
        <v>8.1522787527000639E-11</v>
      </c>
      <c r="D19" s="18">
        <f t="shared" si="1"/>
        <v>1.2528922244543037E-4</v>
      </c>
      <c r="E19" s="18"/>
    </row>
    <row r="20" spans="2:5" x14ac:dyDescent="0.3">
      <c r="B20" s="17">
        <f t="shared" si="2"/>
        <v>-6.6</v>
      </c>
      <c r="C20" s="18">
        <f t="shared" si="0"/>
        <v>1.3866799941653172E-10</v>
      </c>
      <c r="D20" s="18">
        <f t="shared" si="1"/>
        <v>1.4597346289573014E-4</v>
      </c>
      <c r="E20" s="18"/>
    </row>
    <row r="21" spans="2:5" x14ac:dyDescent="0.3">
      <c r="B21" s="17">
        <f t="shared" si="2"/>
        <v>-6.52</v>
      </c>
      <c r="C21" s="18">
        <f t="shared" si="0"/>
        <v>2.3436566877932076E-10</v>
      </c>
      <c r="D21" s="18">
        <f t="shared" si="1"/>
        <v>1.6980060624182739E-4</v>
      </c>
      <c r="E21" s="18"/>
    </row>
    <row r="22" spans="2:5" x14ac:dyDescent="0.3">
      <c r="B22" s="17">
        <f t="shared" si="2"/>
        <v>-6.4399999999999995</v>
      </c>
      <c r="C22" s="18">
        <f t="shared" si="0"/>
        <v>3.9357930409014538E-10</v>
      </c>
      <c r="D22" s="18">
        <f t="shared" si="1"/>
        <v>1.9720126248457846E-4</v>
      </c>
      <c r="E22" s="18"/>
    </row>
    <row r="23" spans="2:5" x14ac:dyDescent="0.3">
      <c r="B23" s="17">
        <f t="shared" si="2"/>
        <v>-6.3599999999999994</v>
      </c>
      <c r="C23" s="18">
        <f t="shared" si="0"/>
        <v>6.5673630963611265E-10</v>
      </c>
      <c r="D23" s="18">
        <f t="shared" si="1"/>
        <v>2.2865740702992881E-4</v>
      </c>
      <c r="E23" s="18"/>
    </row>
    <row r="24" spans="2:5" x14ac:dyDescent="0.3">
      <c r="B24" s="17">
        <f t="shared" si="2"/>
        <v>-6.2799999999999994</v>
      </c>
      <c r="C24" s="18">
        <f t="shared" si="0"/>
        <v>1.088855673277068E-9</v>
      </c>
      <c r="D24" s="18">
        <f t="shared" si="1"/>
        <v>2.6470734154746781E-4</v>
      </c>
      <c r="E24" s="18"/>
    </row>
    <row r="25" spans="2:5" x14ac:dyDescent="0.3">
      <c r="B25" s="17">
        <f t="shared" si="2"/>
        <v>-6.1999999999999993</v>
      </c>
      <c r="C25" s="18">
        <f t="shared" si="0"/>
        <v>1.7937839079640922E-9</v>
      </c>
      <c r="D25" s="18">
        <f t="shared" si="1"/>
        <v>3.0595096505688649E-4</v>
      </c>
      <c r="E25" s="18"/>
    </row>
    <row r="26" spans="2:5" x14ac:dyDescent="0.3">
      <c r="B26" s="17">
        <f t="shared" si="2"/>
        <v>-6.1199999999999992</v>
      </c>
      <c r="C26" s="18">
        <f t="shared" si="0"/>
        <v>2.9362325198239412E-9</v>
      </c>
      <c r="D26" s="18">
        <f t="shared" si="1"/>
        <v>3.5305535024401875E-4</v>
      </c>
      <c r="E26" s="18"/>
    </row>
    <row r="27" spans="2:5" x14ac:dyDescent="0.3">
      <c r="B27" s="17">
        <f t="shared" si="2"/>
        <v>-6.0399999999999991</v>
      </c>
      <c r="C27" s="18">
        <f t="shared" si="0"/>
        <v>4.7756366922822924E-9</v>
      </c>
      <c r="D27" s="18">
        <f t="shared" si="1"/>
        <v>4.0676061554090459E-4</v>
      </c>
      <c r="E27" s="18"/>
    </row>
    <row r="28" spans="2:5" x14ac:dyDescent="0.3">
      <c r="B28" s="17">
        <f t="shared" si="2"/>
        <v>-5.9599999999999991</v>
      </c>
      <c r="C28" s="18">
        <f t="shared" si="0"/>
        <v>7.717784212570557E-9</v>
      </c>
      <c r="D28" s="18">
        <f t="shared" si="1"/>
        <v>4.6788607846374064E-4</v>
      </c>
      <c r="E28" s="18"/>
    </row>
    <row r="29" spans="2:5" x14ac:dyDescent="0.3">
      <c r="B29" s="17">
        <f t="shared" si="2"/>
        <v>-5.879999999999999</v>
      </c>
      <c r="C29" s="18">
        <f t="shared" si="0"/>
        <v>1.2392944314150173E-8</v>
      </c>
      <c r="D29" s="18">
        <f t="shared" si="1"/>
        <v>5.3733667007686836E-4</v>
      </c>
      <c r="E29" s="18"/>
    </row>
    <row r="30" spans="2:5" x14ac:dyDescent="0.3">
      <c r="B30" s="17">
        <f t="shared" si="2"/>
        <v>-5.7999999999999989</v>
      </c>
      <c r="C30" s="18">
        <f t="shared" si="0"/>
        <v>1.9773196406244814E-8</v>
      </c>
      <c r="D30" s="18">
        <f t="shared" si="1"/>
        <v>6.1610958423651051E-4</v>
      </c>
      <c r="E30" s="18"/>
    </row>
    <row r="31" spans="2:5" x14ac:dyDescent="0.3">
      <c r="B31" s="17">
        <f t="shared" si="2"/>
        <v>-5.7199999999999989</v>
      </c>
      <c r="C31" s="18">
        <f t="shared" si="0"/>
        <v>3.1347273817919896E-8</v>
      </c>
      <c r="D31" s="18">
        <f t="shared" si="1"/>
        <v>7.0530112847069304E-4</v>
      </c>
      <c r="E31" s="18"/>
    </row>
    <row r="32" spans="2:5" x14ac:dyDescent="0.3">
      <c r="B32" s="17">
        <f t="shared" si="2"/>
        <v>-5.6399999999999988</v>
      </c>
      <c r="C32" s="18">
        <f t="shared" si="0"/>
        <v>4.9379102271104754E-8</v>
      </c>
      <c r="D32" s="18">
        <f t="shared" si="1"/>
        <v>8.0611373598856373E-4</v>
      </c>
      <c r="E32" s="18"/>
    </row>
    <row r="33" spans="2:5" x14ac:dyDescent="0.3">
      <c r="B33" s="17">
        <f t="shared" si="2"/>
        <v>-5.5599999999999987</v>
      </c>
      <c r="C33" s="18">
        <f t="shared" si="0"/>
        <v>7.7287118885229607E-8</v>
      </c>
      <c r="D33" s="18">
        <f t="shared" si="1"/>
        <v>9.1986309041214125E-4</v>
      </c>
      <c r="E33" s="18"/>
    </row>
    <row r="34" spans="2:5" x14ac:dyDescent="0.3">
      <c r="B34" s="17">
        <f t="shared" si="2"/>
        <v>-5.4799999999999986</v>
      </c>
      <c r="C34" s="18">
        <f t="shared" si="0"/>
        <v>1.2019642790628337E-7</v>
      </c>
      <c r="D34" s="18">
        <f t="shared" si="1"/>
        <v>1.0479853064289746E-3</v>
      </c>
      <c r="E34" s="18"/>
    </row>
    <row r="35" spans="2:5" x14ac:dyDescent="0.3">
      <c r="B35" s="17">
        <f t="shared" si="2"/>
        <v>-5.3999999999999986</v>
      </c>
      <c r="C35" s="18">
        <f t="shared" si="0"/>
        <v>1.8573618445553061E-7</v>
      </c>
      <c r="D35" s="18">
        <f t="shared" si="1"/>
        <v>1.1920441007324243E-3</v>
      </c>
      <c r="E35" s="18"/>
    </row>
    <row r="36" spans="2:5" x14ac:dyDescent="0.3">
      <c r="B36" s="17">
        <f t="shared" si="2"/>
        <v>-5.3199999999999985</v>
      </c>
      <c r="C36" s="18">
        <f t="shared" si="0"/>
        <v>2.8518192322840016E-7</v>
      </c>
      <c r="D36" s="18">
        <f t="shared" si="1"/>
        <v>1.3537378784203549E-3</v>
      </c>
      <c r="E36" s="18"/>
    </row>
    <row r="37" spans="2:5" x14ac:dyDescent="0.3">
      <c r="B37" s="17">
        <f t="shared" si="2"/>
        <v>-5.2399999999999984</v>
      </c>
      <c r="C37" s="18">
        <f t="shared" si="0"/>
        <v>4.3507886075151478E-7</v>
      </c>
      <c r="D37" s="18">
        <f t="shared" si="1"/>
        <v>1.5349066505523743E-3</v>
      </c>
      <c r="E37" s="18"/>
    </row>
    <row r="38" spans="2:5" x14ac:dyDescent="0.3">
      <c r="B38" s="17">
        <f t="shared" si="2"/>
        <v>-5.1599999999999984</v>
      </c>
      <c r="C38" s="18">
        <f t="shared" si="0"/>
        <v>6.595298968575275E-7</v>
      </c>
      <c r="D38" s="18">
        <f t="shared" si="1"/>
        <v>1.7375386889274737E-3</v>
      </c>
      <c r="E38" s="18"/>
    </row>
    <row r="39" spans="2:5" x14ac:dyDescent="0.3">
      <c r="B39" s="17">
        <f t="shared" si="2"/>
        <v>-5.0799999999999983</v>
      </c>
      <c r="C39" s="18">
        <f t="shared" si="0"/>
        <v>9.9339394133992092E-7</v>
      </c>
      <c r="D39" s="18">
        <f t="shared" si="1"/>
        <v>1.9637768144623946E-3</v>
      </c>
      <c r="E39" s="18"/>
    </row>
    <row r="40" spans="2:5" x14ac:dyDescent="0.3">
      <c r="B40" s="17">
        <f t="shared" si="2"/>
        <v>-4.9999999999999982</v>
      </c>
      <c r="C40" s="18">
        <f t="shared" si="0"/>
        <v>1.486719514734311E-6</v>
      </c>
      <c r="D40" s="18">
        <f t="shared" si="1"/>
        <v>2.2159242059690094E-3</v>
      </c>
      <c r="E40" s="18"/>
    </row>
    <row r="41" spans="2:5" x14ac:dyDescent="0.3">
      <c r="B41" s="17">
        <f t="shared" si="2"/>
        <v>-4.9199999999999982</v>
      </c>
      <c r="C41" s="18">
        <f t="shared" si="0"/>
        <v>2.2108388745684411E-6</v>
      </c>
      <c r="D41" s="18">
        <f t="shared" si="1"/>
        <v>2.4964496068061947E-3</v>
      </c>
      <c r="E41" s="18"/>
    </row>
    <row r="42" spans="2:5" x14ac:dyDescent="0.3">
      <c r="B42" s="17">
        <f t="shared" si="2"/>
        <v>-4.8399999999999981</v>
      </c>
      <c r="C42" s="18">
        <f t="shared" si="0"/>
        <v>3.2666729639933044E-6</v>
      </c>
      <c r="D42" s="18">
        <f t="shared" si="1"/>
        <v>2.8079917979954919E-3</v>
      </c>
      <c r="E42" s="18"/>
    </row>
    <row r="43" spans="2:5" x14ac:dyDescent="0.3">
      <c r="B43" s="17">
        <f t="shared" si="2"/>
        <v>-4.759999999999998</v>
      </c>
      <c r="C43" s="18">
        <f t="shared" si="0"/>
        <v>4.7959510215525641E-6</v>
      </c>
      <c r="D43" s="18">
        <f t="shared" si="1"/>
        <v>3.1533631981329724E-3</v>
      </c>
      <c r="E43" s="18"/>
    </row>
    <row r="44" spans="2:5" x14ac:dyDescent="0.3">
      <c r="B44" s="17">
        <f t="shared" si="2"/>
        <v>-4.6799999999999979</v>
      </c>
      <c r="C44" s="18">
        <f t="shared" si="0"/>
        <v>6.996234143270455E-6</v>
      </c>
      <c r="D44" s="18">
        <f t="shared" si="1"/>
        <v>3.5355524430097339E-3</v>
      </c>
      <c r="E44" s="18"/>
    </row>
    <row r="45" spans="2:5" x14ac:dyDescent="0.3">
      <c r="B45" s="17">
        <f t="shared" si="2"/>
        <v>-4.5999999999999979</v>
      </c>
      <c r="C45" s="18">
        <f t="shared" si="0"/>
        <v>1.014085206548685E-5</v>
      </c>
      <c r="D45" s="18">
        <f t="shared" si="1"/>
        <v>3.9577257914899947E-3</v>
      </c>
      <c r="E45" s="18"/>
    </row>
    <row r="46" spans="2:5" x14ac:dyDescent="0.3">
      <c r="B46" s="17">
        <f t="shared" si="2"/>
        <v>-4.5199999999999978</v>
      </c>
      <c r="C46" s="18">
        <f t="shared" si="0"/>
        <v>1.4605118139153044E-5</v>
      </c>
      <c r="D46" s="18">
        <f t="shared" si="1"/>
        <v>4.4232271991186253E-3</v>
      </c>
      <c r="E46" s="18"/>
    </row>
    <row r="47" spans="2:5" x14ac:dyDescent="0.3">
      <c r="B47" s="17">
        <f t="shared" si="2"/>
        <v>-4.4399999999999977</v>
      </c>
      <c r="C47" s="18">
        <f t="shared" si="0"/>
        <v>2.0900477900450665E-5</v>
      </c>
      <c r="D47" s="18">
        <f t="shared" si="1"/>
        <v>4.935576897375585E-3</v>
      </c>
      <c r="E47" s="18"/>
    </row>
    <row r="48" spans="2:5" x14ac:dyDescent="0.3">
      <c r="B48" s="17">
        <f t="shared" ref="B48:B79" si="3">B47+$A$14</f>
        <v>-4.3599999999999977</v>
      </c>
      <c r="C48" s="18">
        <f t="shared" si="0"/>
        <v>2.9718567676442518E-5</v>
      </c>
      <c r="D48" s="18">
        <f t="shared" si="1"/>
        <v>5.4984683147028058E-3</v>
      </c>
      <c r="E48" s="18"/>
    </row>
    <row r="49" spans="2:5" x14ac:dyDescent="0.3">
      <c r="B49" s="17">
        <f t="shared" si="3"/>
        <v>-4.2799999999999976</v>
      </c>
      <c r="C49" s="18">
        <f t="shared" si="0"/>
        <v>4.1987502931617769E-5</v>
      </c>
      <c r="D49" s="18">
        <f t="shared" si="1"/>
        <v>6.1157631756390066E-3</v>
      </c>
      <c r="E49" s="18"/>
    </row>
    <row r="50" spans="2:5" x14ac:dyDescent="0.3">
      <c r="B50" s="17">
        <f t="shared" si="3"/>
        <v>-4.1999999999999975</v>
      </c>
      <c r="C50" s="18">
        <f t="shared" si="0"/>
        <v>5.8943067756540478E-5</v>
      </c>
      <c r="D50" s="18">
        <f t="shared" si="1"/>
        <v>6.7914846168428307E-3</v>
      </c>
      <c r="E50" s="18"/>
    </row>
    <row r="51" spans="2:5" x14ac:dyDescent="0.3">
      <c r="B51" s="17">
        <f t="shared" si="3"/>
        <v>-4.1199999999999974</v>
      </c>
      <c r="C51" s="18">
        <f t="shared" si="0"/>
        <v>8.221781653628687E-5</v>
      </c>
      <c r="D51" s="18">
        <f t="shared" si="1"/>
        <v>7.5298081636887525E-3</v>
      </c>
      <c r="E51" s="18"/>
    </row>
    <row r="52" spans="2:5" x14ac:dyDescent="0.3">
      <c r="B52" s="17">
        <f t="shared" si="3"/>
        <v>-4.0399999999999974</v>
      </c>
      <c r="C52" s="18">
        <f t="shared" si="0"/>
        <v>1.1395139806886584E-4</v>
      </c>
      <c r="D52" s="18">
        <f t="shared" si="1"/>
        <v>8.335050418690558E-3</v>
      </c>
      <c r="E52" s="18"/>
    </row>
    <row r="53" spans="2:5" x14ac:dyDescent="0.3">
      <c r="B53" s="17">
        <f t="shared" si="3"/>
        <v>-3.9599999999999973</v>
      </c>
      <c r="C53" s="18">
        <f t="shared" si="0"/>
        <v>1.5692563406553394E-4</v>
      </c>
      <c r="D53" s="18">
        <f t="shared" si="1"/>
        <v>9.2116553234310571E-3</v>
      </c>
      <c r="E53" s="18"/>
    </row>
    <row r="54" spans="2:5" x14ac:dyDescent="0.3">
      <c r="B54" s="17">
        <f t="shared" si="3"/>
        <v>-3.8799999999999972</v>
      </c>
      <c r="C54" s="18">
        <f t="shared" si="0"/>
        <v>2.1472798150036932E-4</v>
      </c>
      <c r="D54" s="18">
        <f t="shared" si="1"/>
        <v>1.016417786911295E-2</v>
      </c>
      <c r="E54" s="18"/>
    </row>
    <row r="55" spans="2:5" x14ac:dyDescent="0.3">
      <c r="B55" s="17">
        <f t="shared" si="3"/>
        <v>-3.7999999999999972</v>
      </c>
      <c r="C55" s="18">
        <f t="shared" si="0"/>
        <v>2.9194692579146342E-4</v>
      </c>
      <c r="D55" s="18">
        <f t="shared" si="1"/>
        <v>1.1197265147421484E-2</v>
      </c>
      <c r="E55" s="18"/>
    </row>
    <row r="56" spans="2:5" x14ac:dyDescent="0.3">
      <c r="B56" s="17">
        <f t="shared" si="3"/>
        <v>-3.7199999999999971</v>
      </c>
      <c r="C56" s="18">
        <f t="shared" si="0"/>
        <v>3.9440252496916083E-4</v>
      </c>
      <c r="D56" s="18">
        <f t="shared" si="1"/>
        <v>1.2315634653191292E-2</v>
      </c>
      <c r="E56" s="18"/>
    </row>
    <row r="57" spans="2:5" x14ac:dyDescent="0.3">
      <c r="B57" s="17">
        <f t="shared" si="3"/>
        <v>-3.639999999999997</v>
      </c>
      <c r="C57" s="18">
        <f t="shared" si="0"/>
        <v>5.2941468309494082E-4</v>
      </c>
      <c r="D57" s="18">
        <f t="shared" si="1"/>
        <v>1.3524049773440936E-2</v>
      </c>
      <c r="E57" s="18"/>
    </row>
    <row r="58" spans="2:5" x14ac:dyDescent="0.3">
      <c r="B58" s="17">
        <f t="shared" si="3"/>
        <v>-3.5599999999999969</v>
      </c>
      <c r="C58" s="18">
        <f t="shared" si="0"/>
        <v>7.0611070048804379E-4</v>
      </c>
      <c r="D58" s="18">
        <f t="shared" si="1"/>
        <v>1.4827292423670686E-2</v>
      </c>
      <c r="E58" s="18"/>
    </row>
    <row r="59" spans="2:5" x14ac:dyDescent="0.3">
      <c r="B59" s="17">
        <f t="shared" si="3"/>
        <v>-3.4799999999999969</v>
      </c>
      <c r="C59" s="18">
        <f t="shared" si="0"/>
        <v>9.3577215692748964E-4</v>
      </c>
      <c r="D59" s="18">
        <f t="shared" si="1"/>
        <v>1.6230132821848785E-2</v>
      </c>
      <c r="E59" s="18"/>
    </row>
    <row r="60" spans="2:5" x14ac:dyDescent="0.3">
      <c r="B60" s="17">
        <f t="shared" si="3"/>
        <v>-3.3999999999999968</v>
      </c>
      <c r="C60" s="18">
        <f t="shared" si="0"/>
        <v>1.2322191684730329E-3</v>
      </c>
      <c r="D60" s="18">
        <f t="shared" si="1"/>
        <v>1.7737296423115785E-2</v>
      </c>
      <c r="E60" s="18"/>
    </row>
    <row r="61" spans="2:5" x14ac:dyDescent="0.3">
      <c r="B61" s="17">
        <f t="shared" si="3"/>
        <v>-3.3199999999999967</v>
      </c>
      <c r="C61" s="18">
        <f t="shared" si="0"/>
        <v>1.6122274719771418E-3</v>
      </c>
      <c r="D61" s="18">
        <f t="shared" si="1"/>
        <v>1.9353428073727873E-2</v>
      </c>
      <c r="E61" s="18"/>
    </row>
    <row r="62" spans="2:5" x14ac:dyDescent="0.3">
      <c r="B62" s="17">
        <f t="shared" si="3"/>
        <v>-3.2399999999999967</v>
      </c>
      <c r="C62" s="18">
        <f t="shared" si="0"/>
        <v>2.0959706128579657E-3</v>
      </c>
      <c r="D62" s="18">
        <f t="shared" si="1"/>
        <v>2.1083053480885239E-2</v>
      </c>
      <c r="E62" s="18"/>
    </row>
    <row r="63" spans="2:5" x14ac:dyDescent="0.3">
      <c r="B63" s="17">
        <f t="shared" si="3"/>
        <v>-3.1599999999999966</v>
      </c>
      <c r="C63" s="18">
        <f t="shared" si="0"/>
        <v>2.7074757568407311E-3</v>
      </c>
      <c r="D63" s="18">
        <f t="shared" si="1"/>
        <v>2.2930538135527537E-2</v>
      </c>
      <c r="E63" s="18"/>
    </row>
    <row r="64" spans="2:5" x14ac:dyDescent="0.3">
      <c r="B64" s="17">
        <f t="shared" si="3"/>
        <v>-3.0799999999999965</v>
      </c>
      <c r="C64" s="18">
        <f t="shared" si="0"/>
        <v>3.4750773778549752E-3</v>
      </c>
      <c r="D64" s="18">
        <f t="shared" si="1"/>
        <v>2.4900043867535474E-2</v>
      </c>
      <c r="E64" s="18"/>
    </row>
    <row r="65" spans="2:5" x14ac:dyDescent="0.3">
      <c r="B65" s="17">
        <f t="shared" si="3"/>
        <v>-2.9999999999999964</v>
      </c>
      <c r="C65" s="18">
        <f t="shared" si="0"/>
        <v>4.4318484119380544E-3</v>
      </c>
      <c r="D65" s="18">
        <f t="shared" si="1"/>
        <v>2.6995483256594125E-2</v>
      </c>
      <c r="E65" s="18"/>
    </row>
    <row r="66" spans="2:5" x14ac:dyDescent="0.3">
      <c r="B66" s="17">
        <f t="shared" si="3"/>
        <v>-2.9199999999999964</v>
      </c>
      <c r="C66" s="18">
        <f t="shared" si="0"/>
        <v>5.6159835959910236E-3</v>
      </c>
      <c r="D66" s="18">
        <f t="shared" si="1"/>
        <v>2.9220472166725835E-2</v>
      </c>
      <c r="E66" s="18"/>
    </row>
    <row r="67" spans="2:5" x14ac:dyDescent="0.3">
      <c r="B67" s="17">
        <f t="shared" si="3"/>
        <v>-2.8399999999999963</v>
      </c>
      <c r="C67" s="18">
        <f t="shared" si="0"/>
        <v>7.071104886019525E-3</v>
      </c>
      <c r="D67" s="18">
        <f t="shared" si="1"/>
        <v>3.1578280717599438E-2</v>
      </c>
      <c r="E67" s="18"/>
    </row>
    <row r="68" spans="2:5" x14ac:dyDescent="0.3">
      <c r="B68" s="17">
        <f t="shared" si="3"/>
        <v>-2.7599999999999962</v>
      </c>
      <c r="C68" s="18">
        <f t="shared" si="0"/>
        <v>8.8464543982373182E-3</v>
      </c>
      <c r="D68" s="18">
        <f t="shared" si="1"/>
        <v>3.40717830505224E-2</v>
      </c>
      <c r="E68" s="18"/>
    </row>
    <row r="69" spans="2:5" x14ac:dyDescent="0.3">
      <c r="B69" s="17">
        <f t="shared" si="3"/>
        <v>-2.6799999999999962</v>
      </c>
      <c r="C69" s="18">
        <f t="shared" si="0"/>
        <v>1.0996936629405693E-2</v>
      </c>
      <c r="D69" s="18">
        <f t="shared" si="1"/>
        <v>3.670340629082857E-2</v>
      </c>
      <c r="E69" s="18"/>
    </row>
    <row r="70" spans="2:5" x14ac:dyDescent="0.3">
      <c r="B70" s="17">
        <f t="shared" si="3"/>
        <v>-2.5999999999999961</v>
      </c>
      <c r="C70" s="18">
        <f t="shared" si="0"/>
        <v>1.3582969233685757E-2</v>
      </c>
      <c r="D70" s="18">
        <f t="shared" si="1"/>
        <v>3.9475079150447213E-2</v>
      </c>
      <c r="E70" s="18"/>
    </row>
    <row r="71" spans="2:5" x14ac:dyDescent="0.3">
      <c r="B71" s="17">
        <f t="shared" si="3"/>
        <v>-2.519999999999996</v>
      </c>
      <c r="C71" s="18">
        <f t="shared" si="0"/>
        <v>1.6670100837381227E-2</v>
      </c>
      <c r="D71" s="18">
        <f t="shared" si="1"/>
        <v>4.2388180654011266E-2</v>
      </c>
      <c r="E71" s="18"/>
    </row>
    <row r="72" spans="2:5" x14ac:dyDescent="0.3">
      <c r="B72" s="17">
        <f t="shared" si="3"/>
        <v>-2.4399999999999959</v>
      </c>
      <c r="C72" s="18">
        <f t="shared" si="0"/>
        <v>2.0328355738226035E-2</v>
      </c>
      <c r="D72" s="18">
        <f t="shared" si="1"/>
        <v>4.5443489508141588E-2</v>
      </c>
      <c r="E72" s="18"/>
    </row>
    <row r="73" spans="2:5" x14ac:dyDescent="0.3">
      <c r="B73" s="17">
        <f t="shared" si="3"/>
        <v>-2.3599999999999959</v>
      </c>
      <c r="C73" s="18">
        <f t="shared" si="0"/>
        <v>2.4631269306382736E-2</v>
      </c>
      <c r="D73" s="18">
        <f t="shared" si="1"/>
        <v>4.8641134665733922E-2</v>
      </c>
      <c r="E73" s="18"/>
    </row>
    <row r="74" spans="2:5" x14ac:dyDescent="0.3">
      <c r="B74" s="17">
        <f t="shared" si="3"/>
        <v>-2.2799999999999958</v>
      </c>
      <c r="C74" s="18">
        <f t="shared" si="0"/>
        <v>2.9654584847341556E-2</v>
      </c>
      <c r="D74" s="18">
        <f t="shared" si="1"/>
        <v>5.1980547664382273E-2</v>
      </c>
      <c r="E74" s="18"/>
    </row>
    <row r="75" spans="2:5" x14ac:dyDescent="0.3">
      <c r="B75" s="17">
        <f t="shared" si="3"/>
        <v>-2.1999999999999957</v>
      </c>
      <c r="C75" s="18">
        <f t="shared" si="0"/>
        <v>3.5474592846231771E-2</v>
      </c>
      <c r="D75" s="18">
        <f t="shared" si="1"/>
        <v>5.5460417339727959E-2</v>
      </c>
      <c r="E75" s="18"/>
    </row>
    <row r="76" spans="2:5" x14ac:dyDescent="0.3">
      <c r="B76" s="17">
        <f t="shared" si="3"/>
        <v>-2.1199999999999957</v>
      </c>
      <c r="C76" s="18">
        <f t="shared" si="0"/>
        <v>4.2166106961770707E-2</v>
      </c>
      <c r="D76" s="18">
        <f t="shared" si="1"/>
        <v>5.9078647529791348E-2</v>
      </c>
      <c r="E76" s="18"/>
    </row>
    <row r="77" spans="2:5" x14ac:dyDescent="0.3">
      <c r="B77" s="17">
        <f t="shared" si="3"/>
        <v>-2.0399999999999956</v>
      </c>
      <c r="C77" s="18">
        <f t="shared" si="0"/>
        <v>4.9800087735071212E-2</v>
      </c>
      <c r="D77" s="18">
        <f t="shared" si="1"/>
        <v>6.2832318394544284E-2</v>
      </c>
      <c r="E77" s="18"/>
    </row>
    <row r="78" spans="2:5" x14ac:dyDescent="0.3">
      <c r="B78" s="17">
        <f t="shared" si="3"/>
        <v>-1.9599999999999955</v>
      </c>
      <c r="C78" s="18">
        <f t="shared" si="0"/>
        <v>5.8440944333451983E-2</v>
      </c>
      <c r="D78" s="18">
        <f t="shared" si="1"/>
        <v>6.6717651975501377E-2</v>
      </c>
      <c r="E78" s="18"/>
    </row>
    <row r="79" spans="2:5" x14ac:dyDescent="0.3">
      <c r="B79" s="17">
        <f t="shared" si="3"/>
        <v>-1.8799999999999955</v>
      </c>
      <c r="C79" s="18">
        <f t="shared" ref="C79:C142" si="4">_xlfn.NORM.DIST($B79,muA,sigmaA,FALSE)</f>
        <v>6.8143566101045161E-2</v>
      </c>
      <c r="D79" s="18">
        <f t="shared" ref="D79:D142" si="5">_xlfn.NORM.DIST($B79,muB,sigmaB,FALSE)</f>
        <v>7.0729982612419612E-2</v>
      </c>
      <c r="E79" s="18"/>
    </row>
    <row r="80" spans="2:5" x14ac:dyDescent="0.3">
      <c r="B80" s="17">
        <f t="shared" ref="B80:B111" si="6">B79+$A$14</f>
        <v>-1.7999999999999954</v>
      </c>
      <c r="C80" s="18">
        <f t="shared" si="4"/>
        <v>7.8950158300894815E-2</v>
      </c>
      <c r="D80" s="18">
        <f t="shared" si="5"/>
        <v>7.4863732817872675E-2</v>
      </c>
      <c r="E80" s="18"/>
    </row>
    <row r="81" spans="2:5" x14ac:dyDescent="0.3">
      <c r="B81" s="17">
        <f t="shared" si="6"/>
        <v>-1.7199999999999953</v>
      </c>
      <c r="C81" s="18">
        <f t="shared" si="4"/>
        <v>9.0886979016283606E-2</v>
      </c>
      <c r="D81" s="18">
        <f t="shared" si="5"/>
        <v>7.9112395185191767E-2</v>
      </c>
      <c r="E81" s="18"/>
    </row>
    <row r="82" spans="2:5" x14ac:dyDescent="0.3">
      <c r="B82" s="17">
        <f t="shared" si="6"/>
        <v>-1.6399999999999952</v>
      </c>
      <c r="C82" s="18">
        <f t="shared" si="4"/>
        <v>0.103961095328765</v>
      </c>
      <c r="D82" s="18">
        <f t="shared" si="5"/>
        <v>8.3468520870857169E-2</v>
      </c>
      <c r="E82" s="18"/>
    </row>
    <row r="83" spans="2:5" x14ac:dyDescent="0.3">
      <c r="B83" s="17">
        <f t="shared" si="6"/>
        <v>-1.5599999999999952</v>
      </c>
      <c r="C83" s="18">
        <f t="shared" si="4"/>
        <v>0.11815729505958315</v>
      </c>
      <c r="D83" s="18">
        <f t="shared" si="5"/>
        <v>8.7923715148831447E-2</v>
      </c>
      <c r="E83" s="18"/>
    </row>
    <row r="84" spans="2:5" x14ac:dyDescent="0.3">
      <c r="B84" s="17">
        <f t="shared" si="6"/>
        <v>-1.4799999999999951</v>
      </c>
      <c r="C84" s="18">
        <f t="shared" si="4"/>
        <v>0.13343530395100325</v>
      </c>
      <c r="D84" s="18">
        <f t="shared" si="5"/>
        <v>9.2468640481652931E-2</v>
      </c>
      <c r="E84" s="18"/>
    </row>
    <row r="85" spans="2:5" x14ac:dyDescent="0.3">
      <c r="B85" s="17">
        <f t="shared" si="6"/>
        <v>-1.399999999999995</v>
      </c>
      <c r="C85" s="18">
        <f t="shared" si="4"/>
        <v>0.1497274656357459</v>
      </c>
      <c r="D85" s="18">
        <f t="shared" si="5"/>
        <v>9.7093027491606768E-2</v>
      </c>
      <c r="E85" s="18"/>
    </row>
    <row r="86" spans="2:5" x14ac:dyDescent="0.3">
      <c r="B86" s="17">
        <f t="shared" si="6"/>
        <v>-1.319999999999995</v>
      </c>
      <c r="C86" s="18">
        <f t="shared" si="4"/>
        <v>0.16693704174171495</v>
      </c>
      <c r="D86" s="18">
        <f t="shared" si="5"/>
        <v>0.10178569414538001</v>
      </c>
      <c r="E86" s="18"/>
    </row>
    <row r="87" spans="2:5" x14ac:dyDescent="0.3">
      <c r="B87" s="17">
        <f t="shared" si="6"/>
        <v>-1.2399999999999949</v>
      </c>
      <c r="C87" s="18">
        <f t="shared" si="4"/>
        <v>0.18493728096330647</v>
      </c>
      <c r="D87" s="18">
        <f t="shared" si="5"/>
        <v>0.10653457338785925</v>
      </c>
      <c r="E87" s="18"/>
    </row>
    <row r="88" spans="2:5" x14ac:dyDescent="0.3">
      <c r="B88" s="17">
        <f t="shared" si="6"/>
        <v>-1.1599999999999948</v>
      </c>
      <c r="C88" s="18">
        <f t="shared" si="4"/>
        <v>0.20357138829076069</v>
      </c>
      <c r="D88" s="18">
        <f t="shared" si="5"/>
        <v>0.11132674937588088</v>
      </c>
      <c r="E88" s="18"/>
    </row>
    <row r="89" spans="2:5" x14ac:dyDescent="0.3">
      <c r="B89" s="17">
        <f t="shared" si="6"/>
        <v>-1.0799999999999947</v>
      </c>
      <c r="C89" s="18">
        <f t="shared" si="4"/>
        <v>0.22265349875176244</v>
      </c>
      <c r="D89" s="18">
        <f t="shared" si="5"/>
        <v>0.11614850237168342</v>
      </c>
      <c r="E89" s="18"/>
    </row>
    <row r="90" spans="2:5" x14ac:dyDescent="0.3">
      <c r="B90" s="17">
        <f t="shared" si="6"/>
        <v>-0.99999999999999478</v>
      </c>
      <c r="C90" s="18">
        <f t="shared" si="4"/>
        <v>0.24197072451914464</v>
      </c>
      <c r="D90" s="18">
        <f t="shared" si="5"/>
        <v>0.12098536225957202</v>
      </c>
      <c r="E90" s="18"/>
    </row>
    <row r="91" spans="2:5" x14ac:dyDescent="0.3">
      <c r="B91" s="17">
        <f t="shared" si="6"/>
        <v>-0.91999999999999482</v>
      </c>
      <c r="C91" s="18">
        <f t="shared" si="4"/>
        <v>0.26128630124955438</v>
      </c>
      <c r="D91" s="18">
        <f t="shared" si="5"/>
        <v>0.12582217054905886</v>
      </c>
      <c r="E91" s="18"/>
    </row>
    <row r="92" spans="2:5" x14ac:dyDescent="0.3">
      <c r="B92" s="17">
        <f t="shared" si="6"/>
        <v>-0.83999999999999486</v>
      </c>
      <c r="C92" s="18">
        <f t="shared" si="4"/>
        <v>0.28034381083962179</v>
      </c>
      <c r="D92" s="18">
        <f t="shared" si="5"/>
        <v>0.13064315062477685</v>
      </c>
      <c r="E92" s="18"/>
    </row>
    <row r="93" spans="2:5" x14ac:dyDescent="0.3">
      <c r="B93" s="17">
        <f t="shared" si="6"/>
        <v>-0.7599999999999949</v>
      </c>
      <c r="C93" s="18">
        <f t="shared" si="4"/>
        <v>0.29887240577595398</v>
      </c>
      <c r="D93" s="18">
        <f t="shared" si="5"/>
        <v>0.13543198589916933</v>
      </c>
      <c r="E93" s="18"/>
    </row>
    <row r="94" spans="2:5" x14ac:dyDescent="0.3">
      <c r="B94" s="17">
        <f t="shared" si="6"/>
        <v>-0.67999999999999494</v>
      </c>
      <c r="C94" s="18">
        <f t="shared" si="4"/>
        <v>0.31659290771089388</v>
      </c>
      <c r="D94" s="18">
        <f t="shared" si="5"/>
        <v>0.14017190541981059</v>
      </c>
      <c r="E94" s="18"/>
    </row>
    <row r="95" spans="2:5" x14ac:dyDescent="0.3">
      <c r="B95" s="17">
        <f t="shared" si="6"/>
        <v>-0.59999999999999498</v>
      </c>
      <c r="C95" s="18">
        <f t="shared" si="4"/>
        <v>0.33322460289180067</v>
      </c>
      <c r="D95" s="18">
        <f t="shared" si="5"/>
        <v>0.14484577638074167</v>
      </c>
      <c r="E95" s="18"/>
    </row>
    <row r="96" spans="2:5" x14ac:dyDescent="0.3">
      <c r="B96" s="17">
        <f t="shared" si="6"/>
        <v>-0.51999999999999502</v>
      </c>
      <c r="C96" s="18">
        <f t="shared" si="4"/>
        <v>0.34849251275897541</v>
      </c>
      <c r="D96" s="18">
        <f t="shared" si="5"/>
        <v>0.14943620288797665</v>
      </c>
      <c r="E96" s="18"/>
    </row>
    <row r="97" spans="2:5" x14ac:dyDescent="0.3">
      <c r="B97" s="17">
        <f t="shared" si="6"/>
        <v>-0.43999999999999501</v>
      </c>
      <c r="C97" s="18">
        <f t="shared" si="4"/>
        <v>0.36213488241309305</v>
      </c>
      <c r="D97" s="18">
        <f t="shared" si="5"/>
        <v>0.15392563023492675</v>
      </c>
      <c r="E97" s="18"/>
    </row>
    <row r="98" spans="2:5" x14ac:dyDescent="0.3">
      <c r="B98" s="17">
        <f t="shared" si="6"/>
        <v>-0.35999999999999499</v>
      </c>
      <c r="C98" s="18">
        <f t="shared" si="4"/>
        <v>0.37391060537312909</v>
      </c>
      <c r="D98" s="18">
        <f t="shared" si="5"/>
        <v>0.15829645385544666</v>
      </c>
      <c r="E98" s="18"/>
    </row>
    <row r="99" spans="2:5" x14ac:dyDescent="0.3">
      <c r="B99" s="17">
        <f t="shared" si="6"/>
        <v>-0.27999999999999498</v>
      </c>
      <c r="C99" s="18">
        <f t="shared" si="4"/>
        <v>0.38360629215347908</v>
      </c>
      <c r="D99" s="18">
        <f t="shared" si="5"/>
        <v>0.16253113204204134</v>
      </c>
      <c r="E99" s="18"/>
    </row>
    <row r="100" spans="2:5" x14ac:dyDescent="0.3">
      <c r="B100" s="17">
        <f t="shared" si="6"/>
        <v>-0.19999999999999496</v>
      </c>
      <c r="C100" s="18">
        <f t="shared" si="4"/>
        <v>0.39104269397545627</v>
      </c>
      <c r="D100" s="18">
        <f t="shared" si="5"/>
        <v>0.16661230144590009</v>
      </c>
      <c r="E100" s="18"/>
    </row>
    <row r="101" spans="2:5" x14ac:dyDescent="0.3">
      <c r="B101" s="17">
        <f t="shared" si="6"/>
        <v>-0.11999999999999496</v>
      </c>
      <c r="C101" s="18">
        <f t="shared" si="4"/>
        <v>0.39608021179365632</v>
      </c>
      <c r="D101" s="18">
        <f t="shared" si="5"/>
        <v>0.17052289431517653</v>
      </c>
      <c r="E101" s="18"/>
    </row>
    <row r="102" spans="2:5" x14ac:dyDescent="0.3">
      <c r="B102" s="17">
        <f t="shared" si="6"/>
        <v>-3.9999999999994956E-2</v>
      </c>
      <c r="C102" s="18">
        <f t="shared" si="4"/>
        <v>0.39862325420460509</v>
      </c>
      <c r="D102" s="18">
        <f t="shared" si="5"/>
        <v>0.17424625637948749</v>
      </c>
      <c r="E102" s="18"/>
    </row>
    <row r="103" spans="2:5" x14ac:dyDescent="0.3">
      <c r="B103" s="17">
        <f t="shared" si="6"/>
        <v>4.0000000000005045E-2</v>
      </c>
      <c r="C103" s="18">
        <f t="shared" si="4"/>
        <v>0.39862325420460493</v>
      </c>
      <c r="D103" s="18">
        <f t="shared" si="5"/>
        <v>0.17776626425299877</v>
      </c>
      <c r="E103" s="18"/>
    </row>
    <row r="104" spans="2:5" x14ac:dyDescent="0.3">
      <c r="B104" s="17">
        <f t="shared" si="6"/>
        <v>0.12000000000000505</v>
      </c>
      <c r="C104" s="18">
        <f t="shared" si="4"/>
        <v>0.39608021179365582</v>
      </c>
      <c r="D104" s="18">
        <f t="shared" si="5"/>
        <v>0.1810674412065463</v>
      </c>
      <c r="E104" s="18"/>
    </row>
    <row r="105" spans="2:5" x14ac:dyDescent="0.3">
      <c r="B105" s="17">
        <f t="shared" si="6"/>
        <v>0.20000000000000506</v>
      </c>
      <c r="C105" s="18">
        <f t="shared" si="4"/>
        <v>0.39104269397545549</v>
      </c>
      <c r="D105" s="18">
        <f t="shared" si="5"/>
        <v>0.18413507015166186</v>
      </c>
      <c r="E105" s="18"/>
    </row>
    <row r="106" spans="2:5" x14ac:dyDescent="0.3">
      <c r="B106" s="17">
        <f t="shared" si="6"/>
        <v>0.28000000000000508</v>
      </c>
      <c r="C106" s="18">
        <f t="shared" si="4"/>
        <v>0.38360629215347797</v>
      </c>
      <c r="D106" s="18">
        <f t="shared" si="5"/>
        <v>0.18695530268656435</v>
      </c>
      <c r="E106" s="18"/>
    </row>
    <row r="107" spans="2:5" x14ac:dyDescent="0.3">
      <c r="B107" s="17">
        <f t="shared" si="6"/>
        <v>0.36000000000000509</v>
      </c>
      <c r="C107" s="18">
        <f t="shared" si="4"/>
        <v>0.3739106053731277</v>
      </c>
      <c r="D107" s="18">
        <f t="shared" si="5"/>
        <v>0.189515263076351</v>
      </c>
      <c r="E107" s="18"/>
    </row>
    <row r="108" spans="2:5" x14ac:dyDescent="0.3">
      <c r="B108" s="17">
        <f t="shared" si="6"/>
        <v>0.44000000000000511</v>
      </c>
      <c r="C108" s="18">
        <f t="shared" si="4"/>
        <v>0.36213488241309144</v>
      </c>
      <c r="D108" s="18">
        <f t="shared" si="5"/>
        <v>0.1918031460767394</v>
      </c>
      <c r="E108" s="18"/>
    </row>
    <row r="109" spans="2:5" x14ac:dyDescent="0.3">
      <c r="B109" s="17">
        <f t="shared" si="6"/>
        <v>0.52000000000000512</v>
      </c>
      <c r="C109" s="18">
        <f t="shared" si="4"/>
        <v>0.34849251275897358</v>
      </c>
      <c r="D109" s="18">
        <f t="shared" si="5"/>
        <v>0.19380830756250719</v>
      </c>
      <c r="E109" s="18"/>
    </row>
    <row r="110" spans="2:5" x14ac:dyDescent="0.3">
      <c r="B110" s="17">
        <f t="shared" si="6"/>
        <v>0.60000000000000508</v>
      </c>
      <c r="C110" s="18">
        <f t="shared" si="4"/>
        <v>0.33322460289179862</v>
      </c>
      <c r="D110" s="18">
        <f t="shared" si="5"/>
        <v>0.19552134698772805</v>
      </c>
      <c r="E110" s="18"/>
    </row>
    <row r="111" spans="2:5" x14ac:dyDescent="0.3">
      <c r="B111" s="17">
        <f t="shared" si="6"/>
        <v>0.68000000000000504</v>
      </c>
      <c r="C111" s="18">
        <f t="shared" si="4"/>
        <v>0.31659290771089171</v>
      </c>
      <c r="D111" s="18">
        <f t="shared" si="5"/>
        <v>0.1969341807842705</v>
      </c>
      <c r="E111" s="18"/>
    </row>
    <row r="112" spans="2:5" x14ac:dyDescent="0.3">
      <c r="B112" s="17">
        <f t="shared" ref="B112:B143" si="7">B111+$A$14</f>
        <v>0.760000000000005</v>
      </c>
      <c r="C112" s="18">
        <f t="shared" si="4"/>
        <v>0.29887240577595164</v>
      </c>
      <c r="D112" s="18">
        <f t="shared" si="5"/>
        <v>0.19804010589682811</v>
      </c>
      <c r="E112" s="18"/>
    </row>
    <row r="113" spans="2:5" x14ac:dyDescent="0.3">
      <c r="B113" s="17">
        <f t="shared" si="7"/>
        <v>0.84000000000000496</v>
      </c>
      <c r="C113" s="18">
        <f t="shared" si="4"/>
        <v>0.2803438108396194</v>
      </c>
      <c r="D113" s="18">
        <f t="shared" si="5"/>
        <v>0.19883385275580448</v>
      </c>
      <c r="E113" s="18"/>
    </row>
    <row r="114" spans="2:5" x14ac:dyDescent="0.3">
      <c r="B114" s="17">
        <f t="shared" si="7"/>
        <v>0.92000000000000492</v>
      </c>
      <c r="C114" s="18">
        <f t="shared" si="4"/>
        <v>0.26128630124955199</v>
      </c>
      <c r="D114" s="18">
        <f t="shared" si="5"/>
        <v>0.19931162710230252</v>
      </c>
      <c r="E114" s="18"/>
    </row>
    <row r="115" spans="2:5" x14ac:dyDescent="0.3">
      <c r="B115" s="17">
        <f t="shared" si="7"/>
        <v>1.0000000000000049</v>
      </c>
      <c r="C115" s="18">
        <f t="shared" si="4"/>
        <v>0.24197072451914217</v>
      </c>
      <c r="D115" s="18">
        <f t="shared" si="5"/>
        <v>0.19947114020071635</v>
      </c>
      <c r="E115" s="18"/>
    </row>
    <row r="116" spans="2:5" x14ac:dyDescent="0.3">
      <c r="B116" s="17">
        <f t="shared" si="7"/>
        <v>1.080000000000005</v>
      </c>
      <c r="C116" s="18">
        <f t="shared" si="4"/>
        <v>0.22265349875175994</v>
      </c>
      <c r="D116" s="18">
        <f t="shared" si="5"/>
        <v>0.19931162710230249</v>
      </c>
      <c r="E116" s="18"/>
    </row>
    <row r="117" spans="2:5" x14ac:dyDescent="0.3">
      <c r="B117" s="17">
        <f t="shared" si="7"/>
        <v>1.160000000000005</v>
      </c>
      <c r="C117" s="18">
        <f t="shared" si="4"/>
        <v>0.20357138829075824</v>
      </c>
      <c r="D117" s="18">
        <f t="shared" si="5"/>
        <v>0.19883385275580442</v>
      </c>
      <c r="E117" s="18"/>
    </row>
    <row r="118" spans="2:5" x14ac:dyDescent="0.3">
      <c r="B118" s="17">
        <f t="shared" si="7"/>
        <v>1.2400000000000051</v>
      </c>
      <c r="C118" s="18">
        <f t="shared" si="4"/>
        <v>0.18493728096330411</v>
      </c>
      <c r="D118" s="18">
        <f t="shared" si="5"/>
        <v>0.19804010589682799</v>
      </c>
      <c r="E118" s="18"/>
    </row>
    <row r="119" spans="2:5" x14ac:dyDescent="0.3">
      <c r="B119" s="17">
        <f t="shared" si="7"/>
        <v>1.3200000000000052</v>
      </c>
      <c r="C119" s="18">
        <f t="shared" si="4"/>
        <v>0.16693704174171267</v>
      </c>
      <c r="D119" s="18">
        <f t="shared" si="5"/>
        <v>0.19693418078427033</v>
      </c>
      <c r="E119" s="18"/>
    </row>
    <row r="120" spans="2:5" x14ac:dyDescent="0.3">
      <c r="B120" s="17">
        <f t="shared" si="7"/>
        <v>1.4000000000000052</v>
      </c>
      <c r="C120" s="18">
        <f t="shared" si="4"/>
        <v>0.14972746563574377</v>
      </c>
      <c r="D120" s="18">
        <f t="shared" si="5"/>
        <v>0.19552134698772786</v>
      </c>
      <c r="E120" s="18"/>
    </row>
    <row r="121" spans="2:5" x14ac:dyDescent="0.3">
      <c r="B121" s="17">
        <f t="shared" si="7"/>
        <v>1.4800000000000053</v>
      </c>
      <c r="C121" s="18">
        <f t="shared" si="4"/>
        <v>0.13343530395100123</v>
      </c>
      <c r="D121" s="18">
        <f t="shared" si="5"/>
        <v>0.19380830756250694</v>
      </c>
      <c r="E121" s="18"/>
    </row>
    <row r="122" spans="2:5" x14ac:dyDescent="0.3">
      <c r="B122" s="17">
        <f t="shared" si="7"/>
        <v>1.5600000000000054</v>
      </c>
      <c r="C122" s="18">
        <f t="shared" si="4"/>
        <v>0.11815729505958129</v>
      </c>
      <c r="D122" s="18">
        <f t="shared" si="5"/>
        <v>0.19180314607673912</v>
      </c>
      <c r="E122" s="18"/>
    </row>
    <row r="123" spans="2:5" x14ac:dyDescent="0.3">
      <c r="B123" s="17">
        <f t="shared" si="7"/>
        <v>1.6400000000000055</v>
      </c>
      <c r="C123" s="18">
        <f t="shared" si="4"/>
        <v>0.10396109532876328</v>
      </c>
      <c r="D123" s="18">
        <f t="shared" si="5"/>
        <v>0.18951526307635069</v>
      </c>
      <c r="E123" s="18"/>
    </row>
    <row r="124" spans="2:5" x14ac:dyDescent="0.3">
      <c r="B124" s="17">
        <f t="shared" si="7"/>
        <v>1.7200000000000055</v>
      </c>
      <c r="C124" s="18">
        <f t="shared" si="4"/>
        <v>9.088697901628201E-2</v>
      </c>
      <c r="D124" s="18">
        <f t="shared" si="5"/>
        <v>0.18695530268656402</v>
      </c>
      <c r="E124" s="18"/>
    </row>
    <row r="125" spans="2:5" x14ac:dyDescent="0.3">
      <c r="B125" s="17">
        <f t="shared" si="7"/>
        <v>1.8000000000000056</v>
      </c>
      <c r="C125" s="18">
        <f t="shared" si="4"/>
        <v>7.8950158300893358E-2</v>
      </c>
      <c r="D125" s="18">
        <f t="shared" si="5"/>
        <v>0.18413507015166147</v>
      </c>
      <c r="E125" s="18"/>
    </row>
    <row r="126" spans="2:5" x14ac:dyDescent="0.3">
      <c r="B126" s="17">
        <f t="shared" si="7"/>
        <v>1.8800000000000057</v>
      </c>
      <c r="C126" s="18">
        <f t="shared" si="4"/>
        <v>6.8143566101043843E-2</v>
      </c>
      <c r="D126" s="18">
        <f t="shared" si="5"/>
        <v>0.18106744120654589</v>
      </c>
      <c r="E126" s="18"/>
    </row>
    <row r="127" spans="2:5" x14ac:dyDescent="0.3">
      <c r="B127" s="17">
        <f t="shared" si="7"/>
        <v>1.9600000000000057</v>
      </c>
      <c r="C127" s="18">
        <f t="shared" si="4"/>
        <v>5.844094433345081E-2</v>
      </c>
      <c r="D127" s="18">
        <f t="shared" si="5"/>
        <v>0.1777662642529983</v>
      </c>
      <c r="E127" s="18"/>
    </row>
    <row r="128" spans="2:5" x14ac:dyDescent="0.3">
      <c r="B128" s="17">
        <f t="shared" si="7"/>
        <v>2.0400000000000058</v>
      </c>
      <c r="C128" s="18">
        <f t="shared" si="4"/>
        <v>4.9800087735070171E-2</v>
      </c>
      <c r="D128" s="18">
        <f t="shared" si="5"/>
        <v>0.17424625637948701</v>
      </c>
      <c r="E128" s="18"/>
    </row>
    <row r="129" spans="2:5" x14ac:dyDescent="0.3">
      <c r="B129" s="17">
        <f t="shared" si="7"/>
        <v>2.1200000000000059</v>
      </c>
      <c r="C129" s="18">
        <f t="shared" si="4"/>
        <v>4.2166106961769804E-2</v>
      </c>
      <c r="D129" s="18">
        <f t="shared" si="5"/>
        <v>0.170522894315176</v>
      </c>
      <c r="E129" s="18"/>
    </row>
    <row r="130" spans="2:5" x14ac:dyDescent="0.3">
      <c r="B130" s="17">
        <f t="shared" si="7"/>
        <v>2.200000000000006</v>
      </c>
      <c r="C130" s="18">
        <f t="shared" si="4"/>
        <v>3.5474592846230966E-2</v>
      </c>
      <c r="D130" s="18">
        <f t="shared" si="5"/>
        <v>0.16661230144589953</v>
      </c>
      <c r="E130" s="18"/>
    </row>
    <row r="131" spans="2:5" x14ac:dyDescent="0.3">
      <c r="B131" s="17">
        <f t="shared" si="7"/>
        <v>2.280000000000006</v>
      </c>
      <c r="C131" s="18">
        <f t="shared" si="4"/>
        <v>2.9654584847340858E-2</v>
      </c>
      <c r="D131" s="18">
        <f t="shared" si="5"/>
        <v>0.16253113204204075</v>
      </c>
      <c r="E131" s="18"/>
    </row>
    <row r="132" spans="2:5" x14ac:dyDescent="0.3">
      <c r="B132" s="17">
        <f t="shared" si="7"/>
        <v>2.3600000000000061</v>
      </c>
      <c r="C132" s="18">
        <f t="shared" si="4"/>
        <v>2.4631269306382146E-2</v>
      </c>
      <c r="D132" s="18">
        <f t="shared" si="5"/>
        <v>0.15829645385544608</v>
      </c>
      <c r="E132" s="18"/>
    </row>
    <row r="133" spans="2:5" x14ac:dyDescent="0.3">
      <c r="B133" s="17">
        <f t="shared" si="7"/>
        <v>2.4400000000000062</v>
      </c>
      <c r="C133" s="18">
        <f t="shared" si="4"/>
        <v>2.0328355738225532E-2</v>
      </c>
      <c r="D133" s="18">
        <f t="shared" si="5"/>
        <v>0.15392563023492611</v>
      </c>
      <c r="E133" s="18"/>
    </row>
    <row r="134" spans="2:5" x14ac:dyDescent="0.3">
      <c r="B134" s="17">
        <f t="shared" si="7"/>
        <v>2.5200000000000062</v>
      </c>
      <c r="C134" s="18">
        <f t="shared" si="4"/>
        <v>1.66701008373808E-2</v>
      </c>
      <c r="D134" s="18">
        <f t="shared" si="5"/>
        <v>0.14943620288797602</v>
      </c>
      <c r="E134" s="18"/>
    </row>
    <row r="135" spans="2:5" x14ac:dyDescent="0.3">
      <c r="B135" s="17">
        <f t="shared" si="7"/>
        <v>2.6000000000000063</v>
      </c>
      <c r="C135" s="18">
        <f t="shared" si="4"/>
        <v>1.3582969233685398E-2</v>
      </c>
      <c r="D135" s="18">
        <f t="shared" si="5"/>
        <v>0.144845776380741</v>
      </c>
      <c r="E135" s="18"/>
    </row>
    <row r="136" spans="2:5" x14ac:dyDescent="0.3">
      <c r="B136" s="17">
        <f t="shared" si="7"/>
        <v>2.6800000000000064</v>
      </c>
      <c r="C136" s="18">
        <f t="shared" si="4"/>
        <v>1.0996936629405391E-2</v>
      </c>
      <c r="D136" s="18">
        <f t="shared" si="5"/>
        <v>0.14017190541980989</v>
      </c>
      <c r="E136" s="18"/>
    </row>
    <row r="137" spans="2:5" x14ac:dyDescent="0.3">
      <c r="B137" s="17">
        <f t="shared" si="7"/>
        <v>2.7600000000000064</v>
      </c>
      <c r="C137" s="18">
        <f t="shared" si="4"/>
        <v>8.846454398237065E-3</v>
      </c>
      <c r="D137" s="18">
        <f t="shared" si="5"/>
        <v>0.13543198589916863</v>
      </c>
      <c r="E137" s="18"/>
    </row>
    <row r="138" spans="2:5" x14ac:dyDescent="0.3">
      <c r="B138" s="17">
        <f t="shared" si="7"/>
        <v>2.8400000000000065</v>
      </c>
      <c r="C138" s="18">
        <f t="shared" si="4"/>
        <v>7.0711048860193169E-3</v>
      </c>
      <c r="D138" s="18">
        <f t="shared" si="5"/>
        <v>0.13064315062477619</v>
      </c>
      <c r="E138" s="18"/>
    </row>
    <row r="139" spans="2:5" x14ac:dyDescent="0.3">
      <c r="B139" s="17">
        <f t="shared" si="7"/>
        <v>2.9200000000000066</v>
      </c>
      <c r="C139" s="18">
        <f t="shared" si="4"/>
        <v>5.6159835959908588E-3</v>
      </c>
      <c r="D139" s="18">
        <f t="shared" si="5"/>
        <v>0.12582217054905817</v>
      </c>
      <c r="E139" s="18"/>
    </row>
    <row r="140" spans="2:5" x14ac:dyDescent="0.3">
      <c r="B140" s="17">
        <f t="shared" si="7"/>
        <v>3.0000000000000067</v>
      </c>
      <c r="C140" s="18">
        <f t="shared" si="4"/>
        <v>4.4318484119379208E-3</v>
      </c>
      <c r="D140" s="18">
        <f t="shared" si="5"/>
        <v>0.12098536225957128</v>
      </c>
      <c r="E140" s="18"/>
    </row>
    <row r="141" spans="2:5" x14ac:dyDescent="0.3">
      <c r="B141" s="17">
        <f t="shared" si="7"/>
        <v>3.0800000000000067</v>
      </c>
      <c r="C141" s="18">
        <f t="shared" si="4"/>
        <v>3.4750773778548637E-3</v>
      </c>
      <c r="D141" s="18">
        <f t="shared" si="5"/>
        <v>0.1161485023716827</v>
      </c>
      <c r="E141" s="18"/>
    </row>
    <row r="142" spans="2:5" x14ac:dyDescent="0.3">
      <c r="B142" s="17">
        <f t="shared" si="7"/>
        <v>3.1600000000000068</v>
      </c>
      <c r="C142" s="18">
        <f t="shared" si="4"/>
        <v>2.7074757568406448E-3</v>
      </c>
      <c r="D142" s="18">
        <f t="shared" si="5"/>
        <v>0.11132674937588015</v>
      </c>
      <c r="E142" s="18"/>
    </row>
    <row r="143" spans="2:5" x14ac:dyDescent="0.3">
      <c r="B143" s="17">
        <f t="shared" si="7"/>
        <v>3.2400000000000069</v>
      </c>
      <c r="C143" s="18">
        <f t="shared" ref="C143:C206" si="8">_xlfn.NORM.DIST($B143,muA,sigmaA,FALSE)</f>
        <v>2.0959706128578972E-3</v>
      </c>
      <c r="D143" s="18">
        <f t="shared" ref="D143:D206" si="9">_xlfn.NORM.DIST($B143,muB,sigmaB,FALSE)</f>
        <v>0.10653457338785852</v>
      </c>
      <c r="E143" s="18"/>
    </row>
    <row r="144" spans="2:5" x14ac:dyDescent="0.3">
      <c r="B144" s="17">
        <f t="shared" ref="B144:B175" si="10">B143+$A$14</f>
        <v>3.3200000000000069</v>
      </c>
      <c r="C144" s="18">
        <f t="shared" si="8"/>
        <v>1.6122274719770873E-3</v>
      </c>
      <c r="D144" s="18">
        <f t="shared" si="9"/>
        <v>0.1017856941453793</v>
      </c>
      <c r="E144" s="18"/>
    </row>
    <row r="145" spans="2:5" x14ac:dyDescent="0.3">
      <c r="B145" s="17">
        <f t="shared" si="10"/>
        <v>3.400000000000007</v>
      </c>
      <c r="C145" s="18">
        <f t="shared" si="8"/>
        <v>1.2322191684729894E-3</v>
      </c>
      <c r="D145" s="18">
        <f t="shared" si="9"/>
        <v>9.7093027491606074E-2</v>
      </c>
      <c r="E145" s="18"/>
    </row>
    <row r="146" spans="2:5" x14ac:dyDescent="0.3">
      <c r="B146" s="17">
        <f t="shared" si="10"/>
        <v>3.4800000000000071</v>
      </c>
      <c r="C146" s="18">
        <f t="shared" si="8"/>
        <v>9.3577215692745635E-4</v>
      </c>
      <c r="D146" s="18">
        <f t="shared" si="9"/>
        <v>9.2468640481652251E-2</v>
      </c>
      <c r="E146" s="18"/>
    </row>
    <row r="147" spans="2:5" x14ac:dyDescent="0.3">
      <c r="B147" s="17">
        <f t="shared" si="10"/>
        <v>3.5600000000000072</v>
      </c>
      <c r="C147" s="18">
        <f t="shared" si="8"/>
        <v>7.0611070048801864E-4</v>
      </c>
      <c r="D147" s="18">
        <f t="shared" si="9"/>
        <v>8.7923715148830781E-2</v>
      </c>
      <c r="E147" s="18"/>
    </row>
    <row r="148" spans="2:5" x14ac:dyDescent="0.3">
      <c r="B148" s="17">
        <f t="shared" si="10"/>
        <v>3.6400000000000072</v>
      </c>
      <c r="C148" s="18">
        <f t="shared" si="8"/>
        <v>5.2941468309492098E-4</v>
      </c>
      <c r="D148" s="18">
        <f t="shared" si="9"/>
        <v>8.3468520870856516E-2</v>
      </c>
      <c r="E148" s="18"/>
    </row>
    <row r="149" spans="2:5" x14ac:dyDescent="0.3">
      <c r="B149" s="17">
        <f t="shared" si="10"/>
        <v>3.7200000000000073</v>
      </c>
      <c r="C149" s="18">
        <f t="shared" si="8"/>
        <v>3.9440252496914576E-4</v>
      </c>
      <c r="D149" s="18">
        <f t="shared" si="9"/>
        <v>7.9112395185191128E-2</v>
      </c>
      <c r="E149" s="18"/>
    </row>
    <row r="150" spans="2:5" x14ac:dyDescent="0.3">
      <c r="B150" s="17">
        <f t="shared" si="10"/>
        <v>3.8000000000000074</v>
      </c>
      <c r="C150" s="18">
        <f t="shared" si="8"/>
        <v>2.9194692579145198E-4</v>
      </c>
      <c r="D150" s="18">
        <f t="shared" si="9"/>
        <v>7.4863732817872036E-2</v>
      </c>
      <c r="E150" s="18"/>
    </row>
    <row r="151" spans="2:5" x14ac:dyDescent="0.3">
      <c r="B151" s="17">
        <f t="shared" si="10"/>
        <v>3.8800000000000074</v>
      </c>
      <c r="C151" s="18">
        <f t="shared" si="8"/>
        <v>2.1472798150036073E-4</v>
      </c>
      <c r="D151" s="18">
        <f t="shared" si="9"/>
        <v>7.0729982612419015E-2</v>
      </c>
      <c r="E151" s="18"/>
    </row>
    <row r="152" spans="2:5" x14ac:dyDescent="0.3">
      <c r="B152" s="17">
        <f t="shared" si="10"/>
        <v>3.9600000000000075</v>
      </c>
      <c r="C152" s="18">
        <f t="shared" si="8"/>
        <v>1.5692563406552752E-4</v>
      </c>
      <c r="D152" s="18">
        <f t="shared" si="9"/>
        <v>6.671765197550078E-2</v>
      </c>
      <c r="E152" s="18"/>
    </row>
    <row r="153" spans="2:5" x14ac:dyDescent="0.3">
      <c r="B153" s="17">
        <f t="shared" si="10"/>
        <v>4.0400000000000071</v>
      </c>
      <c r="C153" s="18">
        <f t="shared" si="8"/>
        <v>1.1395139806886138E-4</v>
      </c>
      <c r="D153" s="18">
        <f t="shared" si="9"/>
        <v>6.2832318394543743E-2</v>
      </c>
      <c r="E153" s="18"/>
    </row>
    <row r="154" spans="2:5" x14ac:dyDescent="0.3">
      <c r="B154" s="17">
        <f t="shared" si="10"/>
        <v>4.1200000000000072</v>
      </c>
      <c r="C154" s="18">
        <f t="shared" si="8"/>
        <v>8.2217816536283509E-5</v>
      </c>
      <c r="D154" s="18">
        <f t="shared" si="9"/>
        <v>5.90786475297908E-2</v>
      </c>
      <c r="E154" s="18"/>
    </row>
    <row r="155" spans="2:5" x14ac:dyDescent="0.3">
      <c r="B155" s="17">
        <f t="shared" si="10"/>
        <v>4.2000000000000073</v>
      </c>
      <c r="C155" s="18">
        <f t="shared" si="8"/>
        <v>5.8943067756538066E-5</v>
      </c>
      <c r="D155" s="18">
        <f t="shared" si="9"/>
        <v>5.5460417339727459E-2</v>
      </c>
      <c r="E155" s="18"/>
    </row>
    <row r="156" spans="2:5" x14ac:dyDescent="0.3">
      <c r="B156" s="17">
        <f t="shared" si="10"/>
        <v>4.2800000000000074</v>
      </c>
      <c r="C156" s="18">
        <f t="shared" si="8"/>
        <v>4.198750293161598E-5</v>
      </c>
      <c r="D156" s="18">
        <f t="shared" si="9"/>
        <v>5.1980547664381788E-2</v>
      </c>
      <c r="E156" s="18"/>
    </row>
    <row r="157" spans="2:5" x14ac:dyDescent="0.3">
      <c r="B157" s="17">
        <f t="shared" si="10"/>
        <v>4.3600000000000074</v>
      </c>
      <c r="C157" s="18">
        <f t="shared" si="8"/>
        <v>2.971856767644125E-5</v>
      </c>
      <c r="D157" s="18">
        <f t="shared" si="9"/>
        <v>4.864113466573345E-2</v>
      </c>
      <c r="E157" s="18"/>
    </row>
    <row r="158" spans="2:5" x14ac:dyDescent="0.3">
      <c r="B158" s="17">
        <f t="shared" si="10"/>
        <v>4.4400000000000075</v>
      </c>
      <c r="C158" s="18">
        <f t="shared" si="8"/>
        <v>2.090047790044974E-5</v>
      </c>
      <c r="D158" s="18">
        <f t="shared" si="9"/>
        <v>4.544348950814113E-2</v>
      </c>
      <c r="E158" s="18"/>
    </row>
    <row r="159" spans="2:5" x14ac:dyDescent="0.3">
      <c r="B159" s="17">
        <f t="shared" si="10"/>
        <v>4.5200000000000076</v>
      </c>
      <c r="C159" s="18">
        <f t="shared" si="8"/>
        <v>1.4605118139152395E-5</v>
      </c>
      <c r="D159" s="18">
        <f t="shared" si="9"/>
        <v>4.2388180654010836E-2</v>
      </c>
      <c r="E159" s="18"/>
    </row>
    <row r="160" spans="2:5" x14ac:dyDescent="0.3">
      <c r="B160" s="17">
        <f t="shared" si="10"/>
        <v>4.6000000000000076</v>
      </c>
      <c r="C160" s="18">
        <f t="shared" si="8"/>
        <v>1.0140852065486381E-5</v>
      </c>
      <c r="D160" s="18">
        <f t="shared" si="9"/>
        <v>3.9475079150446818E-2</v>
      </c>
      <c r="E160" s="18"/>
    </row>
    <row r="161" spans="2:5" x14ac:dyDescent="0.3">
      <c r="B161" s="17">
        <f t="shared" si="10"/>
        <v>4.6800000000000077</v>
      </c>
      <c r="C161" s="18">
        <f t="shared" si="8"/>
        <v>6.9962341432701441E-6</v>
      </c>
      <c r="D161" s="18">
        <f t="shared" si="9"/>
        <v>3.6703406290828182E-2</v>
      </c>
      <c r="E161" s="18"/>
    </row>
    <row r="162" spans="2:5" x14ac:dyDescent="0.3">
      <c r="B162" s="17">
        <f t="shared" si="10"/>
        <v>4.7600000000000078</v>
      </c>
      <c r="C162" s="18">
        <f t="shared" si="8"/>
        <v>4.7959510215523421E-6</v>
      </c>
      <c r="D162" s="18">
        <f t="shared" si="9"/>
        <v>3.4071783050522046E-2</v>
      </c>
      <c r="E162" s="18"/>
    </row>
    <row r="163" spans="2:5" x14ac:dyDescent="0.3">
      <c r="B163" s="17">
        <f t="shared" si="10"/>
        <v>4.8400000000000079</v>
      </c>
      <c r="C163" s="18">
        <f t="shared" si="8"/>
        <v>3.2666729639931473E-6</v>
      </c>
      <c r="D163" s="18">
        <f t="shared" si="9"/>
        <v>3.1578280717599091E-2</v>
      </c>
      <c r="E163" s="18"/>
    </row>
    <row r="164" spans="2:5" x14ac:dyDescent="0.3">
      <c r="B164" s="17">
        <f t="shared" si="10"/>
        <v>4.9200000000000079</v>
      </c>
      <c r="C164" s="18">
        <f t="shared" si="8"/>
        <v>2.2108388745683348E-6</v>
      </c>
      <c r="D164" s="18">
        <f t="shared" si="9"/>
        <v>2.9220472166725502E-2</v>
      </c>
      <c r="E164" s="18"/>
    </row>
    <row r="165" spans="2:5" x14ac:dyDescent="0.3">
      <c r="B165" s="17">
        <f t="shared" si="10"/>
        <v>5.000000000000008</v>
      </c>
      <c r="C165" s="18">
        <f t="shared" si="8"/>
        <v>1.4867195147342397E-6</v>
      </c>
      <c r="D165" s="18">
        <f t="shared" si="9"/>
        <v>2.6995483256593813E-2</v>
      </c>
      <c r="E165" s="18"/>
    </row>
    <row r="166" spans="2:5" x14ac:dyDescent="0.3">
      <c r="B166" s="17">
        <f t="shared" si="10"/>
        <v>5.0800000000000081</v>
      </c>
      <c r="C166" s="18">
        <f t="shared" si="8"/>
        <v>9.9339394133987137E-7</v>
      </c>
      <c r="D166" s="18">
        <f t="shared" si="9"/>
        <v>2.4900043867535176E-2</v>
      </c>
      <c r="E166" s="18"/>
    </row>
    <row r="167" spans="2:5" x14ac:dyDescent="0.3">
      <c r="B167" s="17">
        <f t="shared" si="10"/>
        <v>5.1600000000000081</v>
      </c>
      <c r="C167" s="18">
        <f t="shared" si="8"/>
        <v>6.5952989685749467E-7</v>
      </c>
      <c r="D167" s="18">
        <f t="shared" si="9"/>
        <v>2.2930538135527249E-2</v>
      </c>
      <c r="E167" s="18"/>
    </row>
    <row r="168" spans="2:5" x14ac:dyDescent="0.3">
      <c r="B168" s="17">
        <f t="shared" si="10"/>
        <v>5.2400000000000082</v>
      </c>
      <c r="C168" s="18">
        <f t="shared" si="8"/>
        <v>4.3507886075149313E-7</v>
      </c>
      <c r="D168" s="18">
        <f t="shared" si="9"/>
        <v>2.1083053480884975E-2</v>
      </c>
      <c r="E168" s="18"/>
    </row>
    <row r="169" spans="2:5" x14ac:dyDescent="0.3">
      <c r="B169" s="17">
        <f t="shared" si="10"/>
        <v>5.3200000000000083</v>
      </c>
      <c r="C169" s="18">
        <f t="shared" si="8"/>
        <v>2.8518192322838544E-7</v>
      </c>
      <c r="D169" s="18">
        <f t="shared" si="9"/>
        <v>1.9353428073727631E-2</v>
      </c>
      <c r="E169" s="18"/>
    </row>
    <row r="170" spans="2:5" x14ac:dyDescent="0.3">
      <c r="B170" s="17">
        <f t="shared" si="10"/>
        <v>5.4000000000000083</v>
      </c>
      <c r="C170" s="18">
        <f t="shared" si="8"/>
        <v>1.8573618445552105E-7</v>
      </c>
      <c r="D170" s="18">
        <f t="shared" si="9"/>
        <v>1.7737296423115553E-2</v>
      </c>
      <c r="E170" s="18"/>
    </row>
    <row r="171" spans="2:5" x14ac:dyDescent="0.3">
      <c r="B171" s="17">
        <f t="shared" si="10"/>
        <v>5.4800000000000084</v>
      </c>
      <c r="C171" s="18">
        <f t="shared" si="8"/>
        <v>1.2019642790627696E-7</v>
      </c>
      <c r="D171" s="18">
        <f t="shared" si="9"/>
        <v>1.6230132821848577E-2</v>
      </c>
      <c r="E171" s="18"/>
    </row>
    <row r="172" spans="2:5" x14ac:dyDescent="0.3">
      <c r="B172" s="17">
        <f t="shared" si="10"/>
        <v>5.5600000000000085</v>
      </c>
      <c r="C172" s="18">
        <f t="shared" si="8"/>
        <v>7.7287118885225359E-8</v>
      </c>
      <c r="D172" s="18">
        <f t="shared" si="9"/>
        <v>1.4827292423670495E-2</v>
      </c>
      <c r="E172" s="18"/>
    </row>
    <row r="173" spans="2:5" x14ac:dyDescent="0.3">
      <c r="B173" s="17">
        <f t="shared" si="10"/>
        <v>5.6400000000000086</v>
      </c>
      <c r="C173" s="18">
        <f t="shared" si="8"/>
        <v>4.9379102271102028E-8</v>
      </c>
      <c r="D173" s="18">
        <f t="shared" si="9"/>
        <v>1.3524049773440756E-2</v>
      </c>
      <c r="E173" s="18"/>
    </row>
    <row r="174" spans="2:5" x14ac:dyDescent="0.3">
      <c r="B174" s="17">
        <f t="shared" si="10"/>
        <v>5.7200000000000086</v>
      </c>
      <c r="C174" s="18">
        <f t="shared" si="8"/>
        <v>3.1347273817918122E-8</v>
      </c>
      <c r="D174" s="18">
        <f t="shared" si="9"/>
        <v>1.2315634653191122E-2</v>
      </c>
      <c r="E174" s="18"/>
    </row>
    <row r="175" spans="2:5" x14ac:dyDescent="0.3">
      <c r="B175" s="17">
        <f t="shared" si="10"/>
        <v>5.8000000000000087</v>
      </c>
      <c r="C175" s="18">
        <f t="shared" si="8"/>
        <v>1.9773196406243689E-8</v>
      </c>
      <c r="D175" s="18">
        <f t="shared" si="9"/>
        <v>1.119726514742133E-2</v>
      </c>
      <c r="E175" s="18"/>
    </row>
    <row r="176" spans="2:5" x14ac:dyDescent="0.3">
      <c r="B176" s="17">
        <f t="shared" ref="B176:B207" si="11">B175+$A$14</f>
        <v>5.8800000000000088</v>
      </c>
      <c r="C176" s="18">
        <f t="shared" si="8"/>
        <v>1.2392944314149468E-8</v>
      </c>
      <c r="D176" s="18">
        <f t="shared" si="9"/>
        <v>1.0164177869112809E-2</v>
      </c>
      <c r="E176" s="18"/>
    </row>
    <row r="177" spans="2:5" x14ac:dyDescent="0.3">
      <c r="B177" s="17">
        <f t="shared" si="11"/>
        <v>5.9600000000000088</v>
      </c>
      <c r="C177" s="18">
        <f t="shared" si="8"/>
        <v>7.7177842125701169E-9</v>
      </c>
      <c r="D177" s="18">
        <f t="shared" si="9"/>
        <v>9.2116553234309253E-3</v>
      </c>
      <c r="E177" s="18"/>
    </row>
    <row r="178" spans="2:5" x14ac:dyDescent="0.3">
      <c r="B178" s="17">
        <f t="shared" si="11"/>
        <v>6.0400000000000089</v>
      </c>
      <c r="C178" s="18">
        <f t="shared" si="8"/>
        <v>4.7756366922820211E-9</v>
      </c>
      <c r="D178" s="18">
        <f t="shared" si="9"/>
        <v>8.3350504186904349E-3</v>
      </c>
      <c r="E178" s="18"/>
    </row>
    <row r="179" spans="2:5" x14ac:dyDescent="0.3">
      <c r="B179" s="17">
        <f t="shared" si="11"/>
        <v>6.120000000000009</v>
      </c>
      <c r="C179" s="18">
        <f t="shared" si="8"/>
        <v>2.9362325198237642E-9</v>
      </c>
      <c r="D179" s="18">
        <f t="shared" si="9"/>
        <v>7.5298081636886388E-3</v>
      </c>
      <c r="E179" s="18"/>
    </row>
    <row r="180" spans="2:5" x14ac:dyDescent="0.3">
      <c r="B180" s="17">
        <f t="shared" si="11"/>
        <v>6.2000000000000091</v>
      </c>
      <c r="C180" s="18">
        <f t="shared" si="8"/>
        <v>1.7937839079639841E-9</v>
      </c>
      <c r="D180" s="18">
        <f t="shared" si="9"/>
        <v>6.7914846168427275E-3</v>
      </c>
      <c r="E180" s="18"/>
    </row>
    <row r="181" spans="2:5" x14ac:dyDescent="0.3">
      <c r="B181" s="17">
        <f t="shared" si="11"/>
        <v>6.2800000000000091</v>
      </c>
      <c r="C181" s="18">
        <f t="shared" si="8"/>
        <v>1.088855673277002E-9</v>
      </c>
      <c r="D181" s="18">
        <f t="shared" si="9"/>
        <v>6.1157631756389146E-3</v>
      </c>
      <c r="E181" s="18"/>
    </row>
    <row r="182" spans="2:5" x14ac:dyDescent="0.3">
      <c r="B182" s="17">
        <f t="shared" si="11"/>
        <v>6.3600000000000092</v>
      </c>
      <c r="C182" s="18">
        <f t="shared" si="8"/>
        <v>6.5673630963607057E-10</v>
      </c>
      <c r="D182" s="18">
        <f t="shared" si="9"/>
        <v>5.4984683147027225E-3</v>
      </c>
      <c r="E182" s="18"/>
    </row>
    <row r="183" spans="2:5" x14ac:dyDescent="0.3">
      <c r="B183" s="17">
        <f t="shared" si="11"/>
        <v>6.4400000000000093</v>
      </c>
      <c r="C183" s="18">
        <f t="shared" si="8"/>
        <v>3.935793040901202E-10</v>
      </c>
      <c r="D183" s="18">
        <f t="shared" si="9"/>
        <v>4.9355768973755069E-3</v>
      </c>
      <c r="E183" s="18"/>
    </row>
    <row r="184" spans="2:5" x14ac:dyDescent="0.3">
      <c r="B184" s="17">
        <f t="shared" si="11"/>
        <v>6.5200000000000093</v>
      </c>
      <c r="C184" s="18">
        <f t="shared" si="8"/>
        <v>2.3436566877930577E-10</v>
      </c>
      <c r="D184" s="18">
        <f t="shared" si="9"/>
        <v>4.423227199118555E-3</v>
      </c>
      <c r="E184" s="18"/>
    </row>
    <row r="185" spans="2:5" x14ac:dyDescent="0.3">
      <c r="B185" s="17">
        <f t="shared" si="11"/>
        <v>6.6000000000000094</v>
      </c>
      <c r="C185" s="18">
        <f t="shared" si="8"/>
        <v>1.3866799941652283E-10</v>
      </c>
      <c r="D185" s="18">
        <f t="shared" si="9"/>
        <v>3.9577257914899296E-3</v>
      </c>
      <c r="E185" s="18"/>
    </row>
    <row r="186" spans="2:5" x14ac:dyDescent="0.3">
      <c r="B186" s="17">
        <f t="shared" si="11"/>
        <v>6.6800000000000095</v>
      </c>
      <c r="C186" s="18">
        <f t="shared" si="8"/>
        <v>8.152278752699543E-11</v>
      </c>
      <c r="D186" s="18">
        <f t="shared" si="9"/>
        <v>3.5355524430096771E-3</v>
      </c>
      <c r="E186" s="18"/>
    </row>
    <row r="187" spans="2:5" x14ac:dyDescent="0.3">
      <c r="B187" s="17">
        <f t="shared" si="11"/>
        <v>6.7600000000000096</v>
      </c>
      <c r="C187" s="18">
        <f t="shared" si="8"/>
        <v>4.7621416319153522E-11</v>
      </c>
      <c r="D187" s="18">
        <f t="shared" si="9"/>
        <v>3.1533631981329191E-3</v>
      </c>
      <c r="E187" s="18"/>
    </row>
    <row r="188" spans="2:5" x14ac:dyDescent="0.3">
      <c r="B188" s="17">
        <f t="shared" si="11"/>
        <v>6.8400000000000096</v>
      </c>
      <c r="C188" s="18">
        <f t="shared" si="8"/>
        <v>2.7640513661677676E-11</v>
      </c>
      <c r="D188" s="18">
        <f t="shared" si="9"/>
        <v>2.8079917979954446E-3</v>
      </c>
      <c r="E188" s="18"/>
    </row>
    <row r="189" spans="2:5" x14ac:dyDescent="0.3">
      <c r="B189" s="17">
        <f t="shared" si="11"/>
        <v>6.9200000000000097</v>
      </c>
      <c r="C189" s="18">
        <f t="shared" si="8"/>
        <v>1.594081151588281E-11</v>
      </c>
      <c r="D189" s="18">
        <f t="shared" si="9"/>
        <v>2.4964496068061526E-3</v>
      </c>
      <c r="E189" s="18"/>
    </row>
    <row r="190" spans="2:5" x14ac:dyDescent="0.3">
      <c r="B190" s="17">
        <f t="shared" si="11"/>
        <v>7.0000000000000098</v>
      </c>
      <c r="C190" s="18">
        <f t="shared" si="8"/>
        <v>9.1347204083639765E-12</v>
      </c>
      <c r="D190" s="18">
        <f t="shared" si="9"/>
        <v>2.2159242059689721E-3</v>
      </c>
      <c r="E190" s="18"/>
    </row>
    <row r="191" spans="2:5" x14ac:dyDescent="0.3">
      <c r="B191" s="17">
        <f t="shared" si="11"/>
        <v>7.0800000000000098</v>
      </c>
      <c r="C191" s="18">
        <f t="shared" si="8"/>
        <v>5.20116470752682E-12</v>
      </c>
      <c r="D191" s="18">
        <f t="shared" si="9"/>
        <v>1.9637768144623599E-3</v>
      </c>
      <c r="E191" s="18"/>
    </row>
    <row r="192" spans="2:5" x14ac:dyDescent="0.3">
      <c r="B192" s="17">
        <f t="shared" si="11"/>
        <v>7.1600000000000099</v>
      </c>
      <c r="C192" s="18">
        <f t="shared" si="8"/>
        <v>2.9425677446964943E-12</v>
      </c>
      <c r="D192" s="18">
        <f t="shared" si="9"/>
        <v>1.7375386889274429E-3</v>
      </c>
      <c r="E192" s="18"/>
    </row>
    <row r="193" spans="2:5" x14ac:dyDescent="0.3">
      <c r="B193" s="17">
        <f t="shared" si="11"/>
        <v>7.24000000000001</v>
      </c>
      <c r="C193" s="18">
        <f t="shared" si="8"/>
        <v>1.6541422271609854E-12</v>
      </c>
      <c r="D193" s="18">
        <f t="shared" si="9"/>
        <v>1.534906650552347E-3</v>
      </c>
      <c r="E193" s="18"/>
    </row>
    <row r="194" spans="2:5" x14ac:dyDescent="0.3">
      <c r="B194" s="17">
        <f t="shared" si="11"/>
        <v>7.3200000000000101</v>
      </c>
      <c r="C194" s="18">
        <f t="shared" si="8"/>
        <v>9.2393143256359462E-13</v>
      </c>
      <c r="D194" s="18">
        <f t="shared" si="9"/>
        <v>1.3537378784203296E-3</v>
      </c>
      <c r="E194" s="18"/>
    </row>
    <row r="195" spans="2:5" x14ac:dyDescent="0.3">
      <c r="B195" s="17">
        <f t="shared" si="11"/>
        <v>7.4000000000000101</v>
      </c>
      <c r="C195" s="18">
        <f t="shared" si="8"/>
        <v>5.1277536367962984E-13</v>
      </c>
      <c r="D195" s="18">
        <f t="shared" si="9"/>
        <v>1.1920441007324022E-3</v>
      </c>
      <c r="E195" s="18"/>
    </row>
    <row r="196" spans="2:5" x14ac:dyDescent="0.3">
      <c r="B196" s="17">
        <f t="shared" si="11"/>
        <v>7.4800000000000102</v>
      </c>
      <c r="C196" s="18">
        <f t="shared" si="8"/>
        <v>2.8277113542206153E-13</v>
      </c>
      <c r="D196" s="18">
        <f t="shared" si="9"/>
        <v>1.0479853064289551E-3</v>
      </c>
      <c r="E196" s="18"/>
    </row>
    <row r="197" spans="2:5" x14ac:dyDescent="0.3">
      <c r="B197" s="17">
        <f t="shared" si="11"/>
        <v>7.5600000000000103</v>
      </c>
      <c r="C197" s="18">
        <f t="shared" si="8"/>
        <v>1.5493998706284821E-13</v>
      </c>
      <c r="D197" s="18">
        <f t="shared" si="9"/>
        <v>9.1986309041212412E-4</v>
      </c>
      <c r="E197" s="18"/>
    </row>
    <row r="198" spans="2:5" x14ac:dyDescent="0.3">
      <c r="B198" s="17">
        <f t="shared" si="11"/>
        <v>7.6400000000000103</v>
      </c>
      <c r="C198" s="18">
        <f t="shared" si="8"/>
        <v>8.4355318664098694E-14</v>
      </c>
      <c r="D198" s="18">
        <f t="shared" si="9"/>
        <v>8.06113735988548E-4</v>
      </c>
      <c r="E198" s="18"/>
    </row>
    <row r="199" spans="2:5" x14ac:dyDescent="0.3">
      <c r="B199" s="17">
        <f t="shared" si="11"/>
        <v>7.7200000000000104</v>
      </c>
      <c r="C199" s="18">
        <f t="shared" si="8"/>
        <v>4.5633306778375222E-14</v>
      </c>
      <c r="D199" s="18">
        <f t="shared" si="9"/>
        <v>7.0530112847067927E-4</v>
      </c>
      <c r="E199" s="18"/>
    </row>
    <row r="200" spans="2:5" x14ac:dyDescent="0.3">
      <c r="B200" s="17">
        <f t="shared" si="11"/>
        <v>7.8000000000000105</v>
      </c>
      <c r="C200" s="18">
        <f t="shared" si="8"/>
        <v>2.4528552856962235E-14</v>
      </c>
      <c r="D200" s="18">
        <f t="shared" si="9"/>
        <v>6.1610958423649847E-4</v>
      </c>
      <c r="E200" s="18"/>
    </row>
    <row r="201" spans="2:5" x14ac:dyDescent="0.3">
      <c r="B201" s="17">
        <f t="shared" si="11"/>
        <v>7.8800000000000106</v>
      </c>
      <c r="C201" s="18">
        <f t="shared" si="8"/>
        <v>1.3100335776937822E-14</v>
      </c>
      <c r="D201" s="18">
        <f t="shared" si="9"/>
        <v>5.3733667007685774E-4</v>
      </c>
      <c r="E201" s="18"/>
    </row>
    <row r="202" spans="2:5" x14ac:dyDescent="0.3">
      <c r="B202" s="17">
        <f t="shared" si="11"/>
        <v>7.9600000000000106</v>
      </c>
      <c r="C202" s="18">
        <f t="shared" si="8"/>
        <v>6.9520589097098071E-15</v>
      </c>
      <c r="D202" s="18">
        <f t="shared" si="9"/>
        <v>4.6788607846373116E-4</v>
      </c>
      <c r="E202" s="18"/>
    </row>
    <row r="203" spans="2:5" x14ac:dyDescent="0.3">
      <c r="B203" s="17">
        <f t="shared" si="11"/>
        <v>8.0400000000000098</v>
      </c>
      <c r="C203" s="18">
        <f t="shared" si="8"/>
        <v>3.6657679945909811E-15</v>
      </c>
      <c r="D203" s="18">
        <f t="shared" si="9"/>
        <v>4.0676061554089694E-4</v>
      </c>
      <c r="E203" s="18"/>
    </row>
    <row r="204" spans="2:5" x14ac:dyDescent="0.3">
      <c r="B204" s="17">
        <f t="shared" si="11"/>
        <v>8.1200000000000099</v>
      </c>
      <c r="C204" s="18">
        <f t="shared" si="8"/>
        <v>1.9206004311443907E-15</v>
      </c>
      <c r="D204" s="18">
        <f t="shared" si="9"/>
        <v>3.5305535024401181E-4</v>
      </c>
      <c r="E204" s="18"/>
    </row>
    <row r="205" spans="2:5" x14ac:dyDescent="0.3">
      <c r="B205" s="17">
        <f t="shared" si="11"/>
        <v>8.2000000000000099</v>
      </c>
      <c r="C205" s="18">
        <f t="shared" si="8"/>
        <v>9.9983787484963254E-16</v>
      </c>
      <c r="D205" s="18">
        <f t="shared" si="9"/>
        <v>3.0595096505688053E-4</v>
      </c>
      <c r="E205" s="18"/>
    </row>
    <row r="206" spans="2:5" x14ac:dyDescent="0.3">
      <c r="B206" s="17">
        <f t="shared" si="11"/>
        <v>8.28000000000001</v>
      </c>
      <c r="C206" s="18">
        <f t="shared" si="8"/>
        <v>5.1718111933301017E-16</v>
      </c>
      <c r="D206" s="18">
        <f t="shared" si="9"/>
        <v>2.6470734154746266E-4</v>
      </c>
      <c r="E206" s="18"/>
    </row>
    <row r="207" spans="2:5" x14ac:dyDescent="0.3">
      <c r="B207" s="17">
        <f t="shared" si="11"/>
        <v>8.3600000000000101</v>
      </c>
      <c r="C207" s="18">
        <f t="shared" ref="C207:C215" si="12">_xlfn.NORM.DIST($B207,muA,sigmaA,FALSE)</f>
        <v>2.6581302303291584E-16</v>
      </c>
      <c r="D207" s="18">
        <f t="shared" ref="D207:D215" si="13">_xlfn.NORM.DIST($B207,muB,sigmaB,FALSE)</f>
        <v>2.2865740702992415E-4</v>
      </c>
      <c r="E207" s="18"/>
    </row>
    <row r="208" spans="2:5" x14ac:dyDescent="0.3">
      <c r="B208" s="17">
        <f t="shared" ref="B208:B214" si="14">B207+$A$14</f>
        <v>8.4400000000000102</v>
      </c>
      <c r="C208" s="18">
        <f t="shared" si="12"/>
        <v>1.357470382217088E-16</v>
      </c>
      <c r="D208" s="18">
        <f t="shared" si="13"/>
        <v>1.9720126248457461E-4</v>
      </c>
      <c r="E208" s="18"/>
    </row>
    <row r="209" spans="2:5" x14ac:dyDescent="0.3">
      <c r="B209" s="17">
        <f t="shared" si="14"/>
        <v>8.5200000000000102</v>
      </c>
      <c r="C209" s="18">
        <f t="shared" si="12"/>
        <v>6.8881879111195821E-17</v>
      </c>
      <c r="D209" s="18">
        <f t="shared" si="13"/>
        <v>1.6980060624182408E-4</v>
      </c>
      <c r="E209" s="18"/>
    </row>
    <row r="210" spans="2:5" x14ac:dyDescent="0.3">
      <c r="B210" s="17">
        <f t="shared" si="14"/>
        <v>8.6000000000000103</v>
      </c>
      <c r="C210" s="18">
        <f t="shared" si="12"/>
        <v>3.4729627485658871E-17</v>
      </c>
      <c r="D210" s="18">
        <f t="shared" si="13"/>
        <v>1.4597346289572729E-4</v>
      </c>
      <c r="E210" s="18"/>
    </row>
    <row r="211" spans="2:5" x14ac:dyDescent="0.3">
      <c r="B211" s="17">
        <f t="shared" si="14"/>
        <v>8.6800000000000104</v>
      </c>
      <c r="C211" s="18">
        <f t="shared" si="12"/>
        <v>1.7398659111404616E-17</v>
      </c>
      <c r="D211" s="18">
        <f t="shared" si="13"/>
        <v>1.2528922244542783E-4</v>
      </c>
      <c r="E211" s="18"/>
    </row>
    <row r="212" spans="2:5" x14ac:dyDescent="0.3">
      <c r="B212" s="17">
        <f t="shared" si="14"/>
        <v>8.7600000000000104</v>
      </c>
      <c r="C212" s="18">
        <f t="shared" si="12"/>
        <v>8.6606791274923575E-18</v>
      </c>
      <c r="D212" s="18">
        <f t="shared" si="13"/>
        <v>1.0736399075018131E-4</v>
      </c>
      <c r="E212" s="18"/>
    </row>
    <row r="213" spans="2:5" x14ac:dyDescent="0.3">
      <c r="B213" s="17">
        <f t="shared" si="14"/>
        <v>8.8400000000000105</v>
      </c>
      <c r="C213" s="18">
        <f t="shared" si="12"/>
        <v>4.2835972719622515E-18</v>
      </c>
      <c r="D213" s="18">
        <f t="shared" si="13"/>
        <v>9.1856249001226589E-5</v>
      </c>
      <c r="E213" s="18"/>
    </row>
    <row r="214" spans="2:5" x14ac:dyDescent="0.3">
      <c r="B214" s="17">
        <f t="shared" si="14"/>
        <v>8.9200000000000106</v>
      </c>
      <c r="C214" s="18">
        <f t="shared" si="12"/>
        <v>2.1051635091806506E-18</v>
      </c>
      <c r="D214" s="18">
        <f t="shared" si="13"/>
        <v>7.8462817032764451E-5</v>
      </c>
      <c r="E214" s="18"/>
    </row>
    <row r="215" spans="2:5" x14ac:dyDescent="0.3">
      <c r="B215" s="7">
        <f>MAX(muA+(4*sigmaA),muB+(4*sigmaB))</f>
        <v>9</v>
      </c>
      <c r="C215" s="18">
        <f t="shared" si="12"/>
        <v>1.0279773571668917E-18</v>
      </c>
      <c r="D215" s="18">
        <f t="shared" si="13"/>
        <v>6.6915112882442684E-5</v>
      </c>
      <c r="E215" s="1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13156-9751-4D1C-8AC6-3F29375771D8}">
  <sheetPr codeName="Sheet18"/>
  <dimension ref="A1:P248"/>
  <sheetViews>
    <sheetView zoomScale="55" zoomScaleNormal="55" workbookViewId="0">
      <selection activeCell="C17" sqref="C17"/>
    </sheetView>
  </sheetViews>
  <sheetFormatPr defaultColWidth="8.6640625" defaultRowHeight="14.4" x14ac:dyDescent="0.3"/>
  <cols>
    <col min="1" max="1" width="16.6640625" style="72" customWidth="1"/>
    <col min="2" max="4" width="8.6640625" style="57"/>
    <col min="5" max="8" width="8.6640625" style="1"/>
    <col min="9" max="9" width="9.5546875" style="1" customWidth="1"/>
    <col min="10" max="10" width="9.33203125" style="1" customWidth="1"/>
    <col min="11" max="11" width="8.33203125" style="1" customWidth="1"/>
    <col min="12" max="16384" width="8.6640625" style="1"/>
  </cols>
  <sheetData>
    <row r="1" spans="1:16" s="36" customFormat="1" ht="25.8" x14ac:dyDescent="0.5">
      <c r="A1" s="70" t="s">
        <v>35</v>
      </c>
      <c r="B1" s="56"/>
      <c r="C1" s="56"/>
      <c r="D1" s="56"/>
    </row>
    <row r="3" spans="1:16" x14ac:dyDescent="0.3">
      <c r="A3" s="71"/>
      <c r="B3" s="69" t="s">
        <v>12</v>
      </c>
      <c r="C3" s="69" t="s">
        <v>11</v>
      </c>
      <c r="D3" s="69" t="s">
        <v>13</v>
      </c>
      <c r="F3" s="44" t="s">
        <v>11</v>
      </c>
      <c r="G3" s="40"/>
      <c r="H3" s="40"/>
      <c r="I3" s="40"/>
      <c r="J3" s="41"/>
      <c r="P3" s="55">
        <v>0</v>
      </c>
    </row>
    <row r="4" spans="1:16" x14ac:dyDescent="0.3">
      <c r="A4" s="71" t="s">
        <v>14</v>
      </c>
      <c r="B4" s="58">
        <f>MIN(B9:B248)</f>
        <v>-3.7509999999999999</v>
      </c>
      <c r="C4" s="58">
        <f>MIN(C9:C248)</f>
        <v>-7.4740000000000002</v>
      </c>
      <c r="D4" s="58">
        <f>MIN(D9:D248)</f>
        <v>-16.297999999999998</v>
      </c>
      <c r="F4" s="39"/>
      <c r="G4" s="40"/>
      <c r="H4" s="40"/>
      <c r="I4" s="60" t="s">
        <v>38</v>
      </c>
      <c r="J4" s="61">
        <f>_xlfn.NORM.DIST(_xlfn.XLOOKUP(MAX(K6:K19),K6:K19,H6:H19),$B$6,$B$7,0)</f>
        <v>0.29681999591997993</v>
      </c>
    </row>
    <row r="5" spans="1:16" x14ac:dyDescent="0.3">
      <c r="A5" s="71" t="s">
        <v>15</v>
      </c>
      <c r="B5" s="58">
        <f>MAX(B9:B248)</f>
        <v>5.3769999999999998</v>
      </c>
      <c r="C5" s="58">
        <f>MAX(C9:C248)</f>
        <v>5.5540000000000003</v>
      </c>
      <c r="D5" s="58">
        <f>MAX(D9:D248)</f>
        <v>11.465999999999999</v>
      </c>
      <c r="F5" s="15" t="s">
        <v>16</v>
      </c>
      <c r="G5" s="15" t="s">
        <v>17</v>
      </c>
      <c r="H5" s="15" t="s">
        <v>18</v>
      </c>
      <c r="I5" s="15" t="s">
        <v>50</v>
      </c>
      <c r="J5" s="15" t="s">
        <v>34</v>
      </c>
      <c r="K5" s="42" t="s">
        <v>39</v>
      </c>
    </row>
    <row r="6" spans="1:16" x14ac:dyDescent="0.3">
      <c r="A6" s="71" t="s">
        <v>1</v>
      </c>
      <c r="B6" s="58">
        <f>AVERAGE(B9:B248)</f>
        <v>0.23241250000000002</v>
      </c>
      <c r="C6" s="58">
        <f>AVERAGE(C9:C248)</f>
        <v>0.35024166666666684</v>
      </c>
      <c r="D6" s="58">
        <f>AVERAGE(D9:D248)</f>
        <v>0.57015416666666663</v>
      </c>
      <c r="F6" s="16">
        <v>-7.5</v>
      </c>
      <c r="G6" s="16">
        <v>-6.5</v>
      </c>
      <c r="H6" s="37"/>
      <c r="I6" s="37"/>
      <c r="J6" s="38">
        <f t="shared" ref="J6:J19" si="0">_xlfn.NORM.DIST(H6,$B$6,$B$7,0)*$I$13/$J$4</f>
        <v>0</v>
      </c>
      <c r="K6" s="43">
        <f t="shared" ref="K6:K19" si="1">_xlfn.NORM.DIST(H6,$B$6,$B$7,0)</f>
        <v>0.29681999591997993</v>
      </c>
    </row>
    <row r="7" spans="1:16" x14ac:dyDescent="0.3">
      <c r="A7" s="71" t="s">
        <v>2</v>
      </c>
      <c r="B7" s="58">
        <f>STDEV(B9:B248)</f>
        <v>1.3234899758445806</v>
      </c>
      <c r="C7" s="58">
        <f>STDEV(C9:C248)</f>
        <v>1.7630847040259963</v>
      </c>
      <c r="D7" s="58">
        <f>STDEV(D9:D248)</f>
        <v>2.6151489403698003</v>
      </c>
      <c r="F7" s="16">
        <f>G6</f>
        <v>-6.5</v>
      </c>
      <c r="G7" s="16">
        <f>F7+(G6-F6)</f>
        <v>-5.5</v>
      </c>
      <c r="H7" s="37"/>
      <c r="I7" s="37"/>
      <c r="J7" s="38">
        <f t="shared" si="0"/>
        <v>0</v>
      </c>
      <c r="K7" s="43">
        <f t="shared" si="1"/>
        <v>0.29681999591997993</v>
      </c>
    </row>
    <row r="8" spans="1:16" x14ac:dyDescent="0.3">
      <c r="F8" s="16">
        <f t="shared" ref="F8:F19" si="2">G7</f>
        <v>-5.5</v>
      </c>
      <c r="G8" s="16">
        <f t="shared" ref="G8:G19" si="3">F8+(G7-F7)</f>
        <v>-4.5</v>
      </c>
      <c r="H8" s="37"/>
      <c r="I8" s="37"/>
      <c r="J8" s="38">
        <f t="shared" si="0"/>
        <v>0</v>
      </c>
      <c r="K8" s="43">
        <f t="shared" si="1"/>
        <v>0.29681999591997993</v>
      </c>
    </row>
    <row r="9" spans="1:16" x14ac:dyDescent="0.3">
      <c r="A9" s="73">
        <v>37894</v>
      </c>
      <c r="B9" s="59">
        <v>2.9780000000000002</v>
      </c>
      <c r="C9" s="59">
        <v>3.57</v>
      </c>
      <c r="D9" s="58">
        <v>2.7130000000000001</v>
      </c>
      <c r="F9" s="16">
        <f t="shared" si="2"/>
        <v>-4.5</v>
      </c>
      <c r="G9" s="16">
        <f t="shared" si="3"/>
        <v>-3.5</v>
      </c>
      <c r="H9" s="37"/>
      <c r="I9" s="37"/>
      <c r="J9" s="38">
        <f t="shared" si="0"/>
        <v>0</v>
      </c>
      <c r="K9" s="43">
        <f t="shared" si="1"/>
        <v>0.29681999591997993</v>
      </c>
    </row>
    <row r="10" spans="1:16" x14ac:dyDescent="0.3">
      <c r="A10" s="73">
        <v>37925</v>
      </c>
      <c r="B10" s="59">
        <v>-1.4870000000000001</v>
      </c>
      <c r="C10" s="59">
        <v>-1.1240000000000001</v>
      </c>
      <c r="D10" s="58">
        <v>2.0739999999999998</v>
      </c>
      <c r="F10" s="16">
        <f t="shared" si="2"/>
        <v>-3.5</v>
      </c>
      <c r="G10" s="16">
        <f t="shared" si="3"/>
        <v>-2.5</v>
      </c>
      <c r="H10" s="37"/>
      <c r="I10" s="37"/>
      <c r="J10" s="38">
        <f t="shared" si="0"/>
        <v>0</v>
      </c>
      <c r="K10" s="43">
        <f t="shared" si="1"/>
        <v>0.29681999591997993</v>
      </c>
    </row>
    <row r="11" spans="1:16" x14ac:dyDescent="0.3">
      <c r="A11" s="73">
        <v>37955</v>
      </c>
      <c r="B11" s="59">
        <v>0.13400000000000001</v>
      </c>
      <c r="C11" s="59">
        <v>0.48699999999999999</v>
      </c>
      <c r="D11" s="58">
        <v>1.3819999999999999</v>
      </c>
      <c r="F11" s="16">
        <f t="shared" si="2"/>
        <v>-2.5</v>
      </c>
      <c r="G11" s="16">
        <f t="shared" si="3"/>
        <v>-1.5</v>
      </c>
      <c r="H11" s="37"/>
      <c r="I11" s="37"/>
      <c r="J11" s="38">
        <f t="shared" si="0"/>
        <v>0</v>
      </c>
      <c r="K11" s="43">
        <f t="shared" si="1"/>
        <v>0.29681999591997993</v>
      </c>
    </row>
    <row r="12" spans="1:16" x14ac:dyDescent="0.3">
      <c r="A12" s="73">
        <v>37986</v>
      </c>
      <c r="B12" s="59">
        <v>0.878</v>
      </c>
      <c r="C12" s="59">
        <v>1.3009999999999999</v>
      </c>
      <c r="D12" s="58">
        <v>2.3719999999999999</v>
      </c>
      <c r="F12" s="16">
        <f t="shared" si="2"/>
        <v>-1.5</v>
      </c>
      <c r="G12" s="16">
        <f t="shared" si="3"/>
        <v>-0.5</v>
      </c>
      <c r="H12" s="37"/>
      <c r="I12" s="37"/>
      <c r="J12" s="38">
        <f t="shared" si="0"/>
        <v>0</v>
      </c>
      <c r="K12" s="43">
        <f t="shared" si="1"/>
        <v>0.29681999591997993</v>
      </c>
    </row>
    <row r="13" spans="1:16" x14ac:dyDescent="0.3">
      <c r="A13" s="73">
        <v>38017</v>
      </c>
      <c r="B13" s="59">
        <v>0.83399999999999996</v>
      </c>
      <c r="C13" s="59">
        <v>1.077</v>
      </c>
      <c r="D13" s="58">
        <v>1.615</v>
      </c>
      <c r="F13" s="16">
        <f t="shared" si="2"/>
        <v>-0.5</v>
      </c>
      <c r="G13" s="16">
        <f t="shared" si="3"/>
        <v>0.5</v>
      </c>
      <c r="H13" s="37"/>
      <c r="I13" s="37"/>
      <c r="J13" s="38">
        <f t="shared" si="0"/>
        <v>0</v>
      </c>
      <c r="K13" s="43">
        <f t="shared" si="1"/>
        <v>0.29681999591997993</v>
      </c>
    </row>
    <row r="14" spans="1:16" x14ac:dyDescent="0.3">
      <c r="A14" s="73">
        <v>38046</v>
      </c>
      <c r="B14" s="59">
        <v>1.212</v>
      </c>
      <c r="C14" s="59">
        <v>1.163</v>
      </c>
      <c r="D14" s="58">
        <v>-0.11</v>
      </c>
      <c r="F14" s="16">
        <f t="shared" si="2"/>
        <v>0.5</v>
      </c>
      <c r="G14" s="16">
        <f t="shared" si="3"/>
        <v>1.5</v>
      </c>
      <c r="H14" s="37"/>
      <c r="I14" s="37"/>
      <c r="J14" s="38">
        <f t="shared" si="0"/>
        <v>0</v>
      </c>
      <c r="K14" s="43">
        <f t="shared" si="1"/>
        <v>0.29681999591997993</v>
      </c>
    </row>
    <row r="15" spans="1:16" x14ac:dyDescent="0.3">
      <c r="A15" s="73">
        <v>38077</v>
      </c>
      <c r="B15" s="59">
        <v>0.93600000000000005</v>
      </c>
      <c r="C15" s="59">
        <v>1.026</v>
      </c>
      <c r="D15" s="58">
        <v>0.66700000000000004</v>
      </c>
      <c r="F15" s="16">
        <f t="shared" si="2"/>
        <v>1.5</v>
      </c>
      <c r="G15" s="16">
        <f t="shared" si="3"/>
        <v>2.5</v>
      </c>
      <c r="H15" s="37"/>
      <c r="I15" s="37"/>
      <c r="J15" s="38">
        <f t="shared" si="0"/>
        <v>0</v>
      </c>
      <c r="K15" s="43">
        <f t="shared" si="1"/>
        <v>0.29681999591997993</v>
      </c>
    </row>
    <row r="16" spans="1:16" x14ac:dyDescent="0.3">
      <c r="A16" s="73">
        <v>38107</v>
      </c>
      <c r="B16" s="59">
        <v>-3.15</v>
      </c>
      <c r="C16" s="59">
        <v>-3.1080000000000001</v>
      </c>
      <c r="D16" s="58">
        <v>-0.66</v>
      </c>
      <c r="F16" s="16">
        <f t="shared" si="2"/>
        <v>2.5</v>
      </c>
      <c r="G16" s="16">
        <f t="shared" si="3"/>
        <v>3.5</v>
      </c>
      <c r="H16" s="37"/>
      <c r="I16" s="37"/>
      <c r="J16" s="38">
        <f t="shared" si="0"/>
        <v>0</v>
      </c>
      <c r="K16" s="43">
        <f t="shared" si="1"/>
        <v>0.29681999591997993</v>
      </c>
    </row>
    <row r="17" spans="1:11" x14ac:dyDescent="0.3">
      <c r="A17" s="73">
        <v>38138</v>
      </c>
      <c r="B17" s="59">
        <v>-0.33200000000000002</v>
      </c>
      <c r="C17" s="59">
        <v>-0.70799999999999996</v>
      </c>
      <c r="D17" s="58">
        <v>-1.571</v>
      </c>
      <c r="F17" s="16">
        <f t="shared" si="2"/>
        <v>3.5</v>
      </c>
      <c r="G17" s="16">
        <f t="shared" si="3"/>
        <v>4.5</v>
      </c>
      <c r="H17" s="37"/>
      <c r="I17" s="37"/>
      <c r="J17" s="38">
        <f t="shared" si="0"/>
        <v>0</v>
      </c>
      <c r="K17" s="43">
        <f t="shared" si="1"/>
        <v>0.29681999591997993</v>
      </c>
    </row>
    <row r="18" spans="1:11" x14ac:dyDescent="0.3">
      <c r="A18" s="73">
        <v>38168</v>
      </c>
      <c r="B18" s="59">
        <v>0.40300000000000002</v>
      </c>
      <c r="C18" s="59">
        <v>0.48599999999999999</v>
      </c>
      <c r="D18" s="58">
        <v>1.4530000000000001</v>
      </c>
      <c r="F18" s="16">
        <f t="shared" si="2"/>
        <v>4.5</v>
      </c>
      <c r="G18" s="16">
        <f t="shared" si="3"/>
        <v>5.5</v>
      </c>
      <c r="H18" s="37"/>
      <c r="I18" s="37"/>
      <c r="J18" s="38">
        <f t="shared" si="0"/>
        <v>0</v>
      </c>
      <c r="K18" s="43">
        <f t="shared" si="1"/>
        <v>0.29681999591997993</v>
      </c>
    </row>
    <row r="19" spans="1:11" x14ac:dyDescent="0.3">
      <c r="A19" s="73">
        <v>38199</v>
      </c>
      <c r="B19" s="59">
        <v>0.93</v>
      </c>
      <c r="C19" s="59">
        <v>1.208</v>
      </c>
      <c r="D19" s="58">
        <v>1.3480000000000001</v>
      </c>
      <c r="F19" s="16">
        <f t="shared" si="2"/>
        <v>5.5</v>
      </c>
      <c r="G19" s="16">
        <f t="shared" si="3"/>
        <v>6.5</v>
      </c>
      <c r="H19" s="37"/>
      <c r="I19" s="37"/>
      <c r="J19" s="38">
        <f t="shared" si="0"/>
        <v>0</v>
      </c>
      <c r="K19" s="43">
        <f t="shared" si="1"/>
        <v>0.29681999591997993</v>
      </c>
    </row>
    <row r="20" spans="1:11" x14ac:dyDescent="0.3">
      <c r="A20" s="73">
        <v>38230</v>
      </c>
      <c r="B20" s="59">
        <v>2.0470000000000002</v>
      </c>
      <c r="C20" s="59">
        <v>2.3450000000000002</v>
      </c>
      <c r="D20" s="58">
        <v>1.8169999999999999</v>
      </c>
    </row>
    <row r="21" spans="1:11" x14ac:dyDescent="0.3">
      <c r="A21" s="73">
        <v>38260</v>
      </c>
      <c r="B21" s="59">
        <v>0.24199999999999999</v>
      </c>
      <c r="C21" s="59">
        <v>0.52300000000000002</v>
      </c>
      <c r="D21" s="58">
        <v>1.393</v>
      </c>
    </row>
    <row r="22" spans="1:11" x14ac:dyDescent="0.3">
      <c r="A22" s="73">
        <v>38291</v>
      </c>
      <c r="B22" s="59">
        <v>0.77300000000000002</v>
      </c>
      <c r="C22" s="59">
        <v>1.0109999999999999</v>
      </c>
      <c r="D22" s="58">
        <v>1.9279999999999999</v>
      </c>
    </row>
    <row r="23" spans="1:11" x14ac:dyDescent="0.3">
      <c r="A23" s="73">
        <v>38321</v>
      </c>
      <c r="B23" s="59">
        <v>-1.325</v>
      </c>
      <c r="C23" s="59">
        <v>-1.0389999999999999</v>
      </c>
      <c r="D23" s="58">
        <v>1.04</v>
      </c>
    </row>
    <row r="24" spans="1:11" x14ac:dyDescent="0.3">
      <c r="A24" s="73">
        <v>38352</v>
      </c>
      <c r="B24" s="59">
        <v>0.97699999999999998</v>
      </c>
      <c r="C24" s="59">
        <v>1.417</v>
      </c>
      <c r="D24" s="58">
        <v>1.508</v>
      </c>
    </row>
    <row r="25" spans="1:11" x14ac:dyDescent="0.3">
      <c r="A25" s="73">
        <v>38383</v>
      </c>
      <c r="B25" s="59">
        <v>0.72299999999999998</v>
      </c>
      <c r="C25" s="59">
        <v>0.80900000000000005</v>
      </c>
      <c r="D25" s="58">
        <v>-0.10199999999999999</v>
      </c>
    </row>
    <row r="26" spans="1:11" x14ac:dyDescent="0.3">
      <c r="A26" s="73">
        <v>38411</v>
      </c>
      <c r="B26" s="59">
        <v>-0.78700000000000003</v>
      </c>
      <c r="C26" s="59">
        <v>-0.64400000000000002</v>
      </c>
      <c r="D26" s="58">
        <v>1.429</v>
      </c>
    </row>
    <row r="27" spans="1:11" x14ac:dyDescent="0.3">
      <c r="A27" s="73">
        <v>38442</v>
      </c>
      <c r="B27" s="59">
        <v>-0.32800000000000001</v>
      </c>
      <c r="C27" s="59">
        <v>-1.077</v>
      </c>
      <c r="D27" s="58">
        <v>-2.7309999999999999</v>
      </c>
    </row>
    <row r="28" spans="1:11" x14ac:dyDescent="0.3">
      <c r="A28" s="73">
        <v>38472</v>
      </c>
      <c r="B28" s="59">
        <v>1.726</v>
      </c>
      <c r="C28" s="59">
        <v>1.3919999999999999</v>
      </c>
      <c r="D28" s="58">
        <v>-1.073</v>
      </c>
    </row>
    <row r="29" spans="1:11" x14ac:dyDescent="0.3">
      <c r="A29" s="73">
        <v>38503</v>
      </c>
      <c r="B29" s="59">
        <v>1.2170000000000001</v>
      </c>
      <c r="C29" s="59">
        <v>1.2330000000000001</v>
      </c>
      <c r="D29" s="58">
        <v>1.79</v>
      </c>
    </row>
    <row r="30" spans="1:11" x14ac:dyDescent="0.3">
      <c r="A30" s="73">
        <v>38533</v>
      </c>
      <c r="B30" s="59">
        <v>0.61099999999999999</v>
      </c>
      <c r="C30" s="59">
        <v>0.80600000000000005</v>
      </c>
      <c r="D30" s="58">
        <v>1.903</v>
      </c>
    </row>
    <row r="31" spans="1:11" x14ac:dyDescent="0.3">
      <c r="A31" s="73">
        <v>38564</v>
      </c>
      <c r="B31" s="59">
        <v>-1.327</v>
      </c>
      <c r="C31" s="59">
        <v>-1.036</v>
      </c>
      <c r="D31" s="58">
        <v>1.57</v>
      </c>
    </row>
    <row r="32" spans="1:11" x14ac:dyDescent="0.3">
      <c r="A32" s="73">
        <v>38595</v>
      </c>
      <c r="B32" s="59">
        <v>1.5860000000000001</v>
      </c>
      <c r="C32" s="59">
        <v>1.629</v>
      </c>
      <c r="D32" s="58">
        <v>0.36199999999999999</v>
      </c>
    </row>
    <row r="33" spans="1:4" x14ac:dyDescent="0.3">
      <c r="A33" s="73">
        <v>38625</v>
      </c>
      <c r="B33" s="59">
        <v>-1.3149999999999999</v>
      </c>
      <c r="C33" s="59">
        <v>-1.5820000000000001</v>
      </c>
      <c r="D33" s="58">
        <v>-1.0009999999999999</v>
      </c>
    </row>
    <row r="34" spans="1:4" x14ac:dyDescent="0.3">
      <c r="A34" s="73">
        <v>38656</v>
      </c>
      <c r="B34" s="59">
        <v>-0.76100000000000001</v>
      </c>
      <c r="C34" s="59">
        <v>-1.0289999999999999</v>
      </c>
      <c r="D34" s="58">
        <v>-0.72899999999999998</v>
      </c>
    </row>
    <row r="35" spans="1:4" x14ac:dyDescent="0.3">
      <c r="A35" s="73">
        <v>38686</v>
      </c>
      <c r="B35" s="59">
        <v>0.47699999999999998</v>
      </c>
      <c r="C35" s="59">
        <v>0.53600000000000003</v>
      </c>
      <c r="D35" s="58">
        <v>0.48199999999999998</v>
      </c>
    </row>
    <row r="36" spans="1:4" x14ac:dyDescent="0.3">
      <c r="A36" s="73">
        <v>38717</v>
      </c>
      <c r="B36" s="59">
        <v>1.0169999999999999</v>
      </c>
      <c r="C36" s="59">
        <v>0.99</v>
      </c>
      <c r="D36" s="58">
        <v>0.91600000000000004</v>
      </c>
    </row>
    <row r="37" spans="1:4" x14ac:dyDescent="0.3">
      <c r="A37" s="73">
        <v>38748</v>
      </c>
      <c r="B37" s="59">
        <v>-0.27700000000000002</v>
      </c>
      <c r="C37" s="59">
        <v>-0.21</v>
      </c>
      <c r="D37" s="58">
        <v>1.585</v>
      </c>
    </row>
    <row r="38" spans="1:4" x14ac:dyDescent="0.3">
      <c r="A38" s="73">
        <v>38776</v>
      </c>
      <c r="B38" s="59">
        <v>0.159</v>
      </c>
      <c r="C38" s="59">
        <v>0.39800000000000002</v>
      </c>
      <c r="D38" s="58">
        <v>0.63200000000000001</v>
      </c>
    </row>
    <row r="39" spans="1:4" x14ac:dyDescent="0.3">
      <c r="A39" s="73">
        <v>38807</v>
      </c>
      <c r="B39" s="59">
        <v>-1.036</v>
      </c>
      <c r="C39" s="59">
        <v>-1.26</v>
      </c>
      <c r="D39" s="58">
        <v>0.625</v>
      </c>
    </row>
    <row r="40" spans="1:4" x14ac:dyDescent="0.3">
      <c r="A40" s="73">
        <v>38837</v>
      </c>
      <c r="B40" s="59">
        <v>-0.41199999999999998</v>
      </c>
      <c r="C40" s="59">
        <v>-0.39700000000000002</v>
      </c>
      <c r="D40" s="58">
        <v>0.64300000000000002</v>
      </c>
    </row>
    <row r="41" spans="1:4" x14ac:dyDescent="0.3">
      <c r="A41" s="73">
        <v>38868</v>
      </c>
      <c r="B41" s="59">
        <v>5.2999999999999999E-2</v>
      </c>
      <c r="C41" s="59">
        <v>-0.08</v>
      </c>
      <c r="D41" s="58">
        <v>-6.3E-2</v>
      </c>
    </row>
    <row r="42" spans="1:4" x14ac:dyDescent="0.3">
      <c r="A42" s="73">
        <v>38898</v>
      </c>
      <c r="B42" s="59">
        <v>0.315</v>
      </c>
      <c r="C42" s="59">
        <v>7.4999999999999997E-2</v>
      </c>
      <c r="D42" s="58">
        <v>-0.379</v>
      </c>
    </row>
    <row r="43" spans="1:4" x14ac:dyDescent="0.3">
      <c r="A43" s="73">
        <v>38929</v>
      </c>
      <c r="B43" s="59">
        <v>1.2150000000000001</v>
      </c>
      <c r="C43" s="59">
        <v>1.482</v>
      </c>
      <c r="D43" s="58">
        <v>1.0669999999999999</v>
      </c>
    </row>
    <row r="44" spans="1:4" x14ac:dyDescent="0.3">
      <c r="A44" s="73">
        <v>38960</v>
      </c>
      <c r="B44" s="59">
        <v>1.4650000000000001</v>
      </c>
      <c r="C44" s="59">
        <v>1.87</v>
      </c>
      <c r="D44" s="58">
        <v>1.6180000000000001</v>
      </c>
    </row>
    <row r="45" spans="1:4" x14ac:dyDescent="0.3">
      <c r="A45" s="73">
        <v>38990</v>
      </c>
      <c r="B45" s="59">
        <v>0.91700000000000004</v>
      </c>
      <c r="C45" s="59">
        <v>1.087</v>
      </c>
      <c r="D45" s="58">
        <v>1.3149999999999999</v>
      </c>
    </row>
    <row r="46" spans="1:4" x14ac:dyDescent="0.3">
      <c r="A46" s="73">
        <v>39021</v>
      </c>
      <c r="B46" s="59">
        <v>0.51200000000000001</v>
      </c>
      <c r="C46" s="59">
        <v>0.86199999999999999</v>
      </c>
      <c r="D46" s="58">
        <v>1.46</v>
      </c>
    </row>
    <row r="47" spans="1:4" x14ac:dyDescent="0.3">
      <c r="A47" s="73">
        <v>39051</v>
      </c>
      <c r="B47" s="59">
        <v>1.0389999999999999</v>
      </c>
      <c r="C47" s="59">
        <v>1.4159999999999999</v>
      </c>
      <c r="D47" s="58">
        <v>1.5960000000000001</v>
      </c>
    </row>
    <row r="48" spans="1:4" x14ac:dyDescent="0.3">
      <c r="A48" s="73">
        <v>39082</v>
      </c>
      <c r="B48" s="59">
        <v>-0.82099999999999995</v>
      </c>
      <c r="C48" s="59">
        <v>-0.89800000000000002</v>
      </c>
      <c r="D48" s="58">
        <v>1.101</v>
      </c>
    </row>
    <row r="49" spans="1:4" x14ac:dyDescent="0.3">
      <c r="A49" s="73">
        <v>39113</v>
      </c>
      <c r="B49" s="59">
        <v>-0.153</v>
      </c>
      <c r="C49" s="59">
        <v>3.3000000000000002E-2</v>
      </c>
      <c r="D49" s="58">
        <v>1.0740000000000001</v>
      </c>
    </row>
    <row r="50" spans="1:4" x14ac:dyDescent="0.3">
      <c r="A50" s="73">
        <v>39141</v>
      </c>
      <c r="B50" s="59">
        <v>1.649</v>
      </c>
      <c r="C50" s="59">
        <v>2.0299999999999998</v>
      </c>
      <c r="D50" s="58">
        <v>1.393</v>
      </c>
    </row>
    <row r="51" spans="1:4" x14ac:dyDescent="0.3">
      <c r="A51" s="73">
        <v>39172</v>
      </c>
      <c r="B51" s="59">
        <v>-5.6000000000000001E-2</v>
      </c>
      <c r="C51" s="59">
        <v>-0.48699999999999999</v>
      </c>
      <c r="D51" s="58">
        <v>0.23200000000000001</v>
      </c>
    </row>
    <row r="52" spans="1:4" x14ac:dyDescent="0.3">
      <c r="A52" s="73">
        <v>39202</v>
      </c>
      <c r="B52" s="59">
        <v>0.52500000000000002</v>
      </c>
      <c r="C52" s="59">
        <v>0.74</v>
      </c>
      <c r="D52" s="58">
        <v>1.323</v>
      </c>
    </row>
    <row r="53" spans="1:4" x14ac:dyDescent="0.3">
      <c r="A53" s="73">
        <v>39233</v>
      </c>
      <c r="B53" s="59">
        <v>-0.87</v>
      </c>
      <c r="C53" s="59">
        <v>-0.99</v>
      </c>
      <c r="D53" s="58">
        <v>0.71099999999999997</v>
      </c>
    </row>
    <row r="54" spans="1:4" x14ac:dyDescent="0.3">
      <c r="A54" s="73">
        <v>39263</v>
      </c>
      <c r="B54" s="59">
        <v>-5.1999999999999998E-2</v>
      </c>
      <c r="C54" s="59">
        <v>-0.48</v>
      </c>
      <c r="D54" s="58">
        <v>-1.6850000000000001</v>
      </c>
    </row>
    <row r="55" spans="1:4" x14ac:dyDescent="0.3">
      <c r="A55" s="73">
        <v>39294</v>
      </c>
      <c r="B55" s="59">
        <v>1.66</v>
      </c>
      <c r="C55" s="59">
        <v>0.28499999999999998</v>
      </c>
      <c r="D55" s="58">
        <v>-3.14</v>
      </c>
    </row>
    <row r="56" spans="1:4" x14ac:dyDescent="0.3">
      <c r="A56" s="73">
        <v>39325</v>
      </c>
      <c r="B56" s="59">
        <v>1.5760000000000001</v>
      </c>
      <c r="C56" s="59">
        <v>0.98499999999999999</v>
      </c>
      <c r="D56" s="58">
        <v>1.115</v>
      </c>
    </row>
    <row r="57" spans="1:4" x14ac:dyDescent="0.3">
      <c r="A57" s="73">
        <v>39355</v>
      </c>
      <c r="B57" s="59">
        <v>0.53600000000000003</v>
      </c>
      <c r="C57" s="59">
        <v>0.56100000000000005</v>
      </c>
      <c r="D57" s="58">
        <v>2.444</v>
      </c>
    </row>
    <row r="58" spans="1:4" x14ac:dyDescent="0.3">
      <c r="A58" s="73">
        <v>39386</v>
      </c>
      <c r="B58" s="59">
        <v>0.78500000000000003</v>
      </c>
      <c r="C58" s="59">
        <v>1.087</v>
      </c>
      <c r="D58" s="58">
        <v>0.60599999999999998</v>
      </c>
    </row>
    <row r="59" spans="1:4" x14ac:dyDescent="0.3">
      <c r="A59" s="73">
        <v>39416</v>
      </c>
      <c r="B59" s="59">
        <v>3.0390000000000001</v>
      </c>
      <c r="C59" s="59">
        <v>0.879</v>
      </c>
      <c r="D59" s="58">
        <v>-2.0459999999999998</v>
      </c>
    </row>
    <row r="60" spans="1:4" x14ac:dyDescent="0.3">
      <c r="A60" s="73">
        <v>39447</v>
      </c>
      <c r="B60" s="59">
        <v>0.121</v>
      </c>
      <c r="C60" s="59">
        <v>-5.6000000000000001E-2</v>
      </c>
      <c r="D60" s="58">
        <v>0.29299999999999998</v>
      </c>
    </row>
    <row r="61" spans="1:4" x14ac:dyDescent="0.3">
      <c r="A61" s="73">
        <v>39478</v>
      </c>
      <c r="B61" s="59">
        <v>2.5230000000000001</v>
      </c>
      <c r="C61" s="59">
        <v>1.1819999999999999</v>
      </c>
      <c r="D61" s="58">
        <v>-1.359</v>
      </c>
    </row>
    <row r="62" spans="1:4" x14ac:dyDescent="0.3">
      <c r="A62" s="73">
        <v>39507</v>
      </c>
      <c r="B62" s="59">
        <v>1.087</v>
      </c>
      <c r="C62" s="59">
        <v>7.1999999999999995E-2</v>
      </c>
      <c r="D62" s="58">
        <v>-1.1870000000000001</v>
      </c>
    </row>
    <row r="63" spans="1:4" x14ac:dyDescent="0.3">
      <c r="A63" s="73">
        <v>39538</v>
      </c>
      <c r="B63" s="59">
        <v>0.72499999999999998</v>
      </c>
      <c r="C63" s="59">
        <v>-1.3280000000000001</v>
      </c>
      <c r="D63" s="58">
        <v>-0.51900000000000002</v>
      </c>
    </row>
    <row r="64" spans="1:4" x14ac:dyDescent="0.3">
      <c r="A64" s="73">
        <v>39568</v>
      </c>
      <c r="B64" s="59">
        <v>-1.6950000000000001</v>
      </c>
      <c r="C64" s="59">
        <v>0.57199999999999995</v>
      </c>
      <c r="D64" s="58">
        <v>4.1660000000000004</v>
      </c>
    </row>
    <row r="65" spans="1:4" x14ac:dyDescent="0.3">
      <c r="A65" s="73">
        <v>39599</v>
      </c>
      <c r="B65" s="59">
        <v>-1.2050000000000001</v>
      </c>
      <c r="C65" s="59">
        <v>-0.91</v>
      </c>
      <c r="D65" s="58">
        <v>0.42799999999999999</v>
      </c>
    </row>
    <row r="66" spans="1:4" x14ac:dyDescent="0.3">
      <c r="A66" s="73">
        <v>39629</v>
      </c>
      <c r="B66" s="59">
        <v>0.83399999999999996</v>
      </c>
      <c r="C66" s="59">
        <v>-0.38400000000000001</v>
      </c>
      <c r="D66" s="58">
        <v>-2.68</v>
      </c>
    </row>
    <row r="67" spans="1:4" x14ac:dyDescent="0.3">
      <c r="A67" s="73">
        <v>39660</v>
      </c>
      <c r="B67" s="59">
        <v>0.39900000000000002</v>
      </c>
      <c r="C67" s="59">
        <v>-0.86099999999999999</v>
      </c>
      <c r="D67" s="58">
        <v>-1.603</v>
      </c>
    </row>
    <row r="68" spans="1:4" x14ac:dyDescent="0.3">
      <c r="A68" s="73">
        <v>39691</v>
      </c>
      <c r="B68" s="59">
        <v>1.26</v>
      </c>
      <c r="C68" s="59">
        <v>0.70199999999999996</v>
      </c>
      <c r="D68" s="58">
        <v>0.32300000000000001</v>
      </c>
    </row>
    <row r="69" spans="1:4" x14ac:dyDescent="0.3">
      <c r="A69" s="73">
        <v>39721</v>
      </c>
      <c r="B69" s="59">
        <v>0.65500000000000003</v>
      </c>
      <c r="C69" s="59">
        <v>-7.3369999999999997</v>
      </c>
      <c r="D69" s="58">
        <v>-8.298</v>
      </c>
    </row>
    <row r="70" spans="1:4" x14ac:dyDescent="0.3">
      <c r="A70" s="73">
        <v>39752</v>
      </c>
      <c r="B70" s="59">
        <v>-0.14599999999999999</v>
      </c>
      <c r="C70" s="59">
        <v>-7.3810000000000002</v>
      </c>
      <c r="D70" s="58">
        <v>-16.297999999999998</v>
      </c>
    </row>
    <row r="71" spans="1:4" x14ac:dyDescent="0.3">
      <c r="A71" s="73">
        <v>39782</v>
      </c>
      <c r="B71" s="59">
        <v>5.3769999999999998</v>
      </c>
      <c r="C71" s="59">
        <v>3.879</v>
      </c>
      <c r="D71" s="58">
        <v>-8.4320000000000004</v>
      </c>
    </row>
    <row r="72" spans="1:4" x14ac:dyDescent="0.3">
      <c r="A72" s="73">
        <v>39813</v>
      </c>
      <c r="B72" s="59">
        <v>3.544</v>
      </c>
      <c r="C72" s="59">
        <v>5.5540000000000003</v>
      </c>
      <c r="D72" s="58">
        <v>7.4740000000000002</v>
      </c>
    </row>
    <row r="73" spans="1:4" x14ac:dyDescent="0.3">
      <c r="A73" s="73">
        <v>39844</v>
      </c>
      <c r="B73" s="59">
        <v>-3.081</v>
      </c>
      <c r="C73" s="59">
        <v>0.33300000000000002</v>
      </c>
      <c r="D73" s="58">
        <v>5.3079999999999998</v>
      </c>
    </row>
    <row r="74" spans="1:4" x14ac:dyDescent="0.3">
      <c r="A74" s="73">
        <v>39872</v>
      </c>
      <c r="B74" s="59">
        <v>-0.54400000000000004</v>
      </c>
      <c r="C74" s="59">
        <v>-1.5580000000000001</v>
      </c>
      <c r="D74" s="58">
        <v>-3.4670000000000001</v>
      </c>
    </row>
    <row r="75" spans="1:4" x14ac:dyDescent="0.3">
      <c r="A75" s="73">
        <v>39903</v>
      </c>
      <c r="B75" s="59">
        <v>2.2610000000000001</v>
      </c>
      <c r="C75" s="59">
        <v>-0.20699999999999999</v>
      </c>
      <c r="D75" s="58">
        <v>3.3039999999999998</v>
      </c>
    </row>
    <row r="76" spans="1:4" x14ac:dyDescent="0.3">
      <c r="A76" s="73">
        <v>39933</v>
      </c>
      <c r="B76" s="59">
        <v>-1.899</v>
      </c>
      <c r="C76" s="59">
        <v>3.0840000000000001</v>
      </c>
      <c r="D76" s="58">
        <v>11.465999999999999</v>
      </c>
    </row>
    <row r="77" spans="1:4" x14ac:dyDescent="0.3">
      <c r="A77" s="73">
        <v>39964</v>
      </c>
      <c r="B77" s="59">
        <v>-1.0089999999999999</v>
      </c>
      <c r="C77" s="59">
        <v>4.335</v>
      </c>
      <c r="D77" s="58">
        <v>7.1130000000000004</v>
      </c>
    </row>
    <row r="78" spans="1:4" x14ac:dyDescent="0.3">
      <c r="A78" s="73">
        <v>39994</v>
      </c>
      <c r="B78" s="59">
        <v>-0.19700000000000001</v>
      </c>
      <c r="C78" s="59">
        <v>3.0350000000000001</v>
      </c>
      <c r="D78" s="58">
        <v>3.18</v>
      </c>
    </row>
    <row r="79" spans="1:4" x14ac:dyDescent="0.3">
      <c r="A79" s="73">
        <v>40025</v>
      </c>
      <c r="B79" s="59">
        <v>0.40200000000000002</v>
      </c>
      <c r="C79" s="59">
        <v>3.948</v>
      </c>
      <c r="D79" s="58">
        <v>6.1829999999999998</v>
      </c>
    </row>
    <row r="80" spans="1:4" x14ac:dyDescent="0.3">
      <c r="A80" s="73">
        <v>40056</v>
      </c>
      <c r="B80" s="59">
        <v>0.92900000000000005</v>
      </c>
      <c r="C80" s="59">
        <v>2.1629999999999998</v>
      </c>
      <c r="D80" s="58">
        <v>2.0339999999999998</v>
      </c>
    </row>
    <row r="81" spans="1:4" x14ac:dyDescent="0.3">
      <c r="A81" s="73">
        <v>40086</v>
      </c>
      <c r="B81" s="59">
        <v>0.78600000000000003</v>
      </c>
      <c r="C81" s="59">
        <v>2.0030000000000001</v>
      </c>
      <c r="D81" s="58">
        <v>5.976</v>
      </c>
    </row>
    <row r="82" spans="1:4" x14ac:dyDescent="0.3">
      <c r="A82" s="73">
        <v>40117</v>
      </c>
      <c r="B82" s="59">
        <v>-5.7000000000000002E-2</v>
      </c>
      <c r="C82" s="59">
        <v>0.81699999999999995</v>
      </c>
      <c r="D82" s="58">
        <v>1.786</v>
      </c>
    </row>
    <row r="83" spans="1:4" x14ac:dyDescent="0.3">
      <c r="A83" s="73">
        <v>40147</v>
      </c>
      <c r="B83" s="59">
        <v>1.4119999999999999</v>
      </c>
      <c r="C83" s="59">
        <v>1.415</v>
      </c>
      <c r="D83" s="58">
        <v>1.0129999999999999</v>
      </c>
    </row>
    <row r="84" spans="1:4" x14ac:dyDescent="0.3">
      <c r="A84" s="73">
        <v>40178</v>
      </c>
      <c r="B84" s="59">
        <v>-2.6389999999999998</v>
      </c>
      <c r="C84" s="59">
        <v>-1.0029999999999999</v>
      </c>
      <c r="D84" s="58">
        <v>3.1349999999999998</v>
      </c>
    </row>
    <row r="85" spans="1:4" x14ac:dyDescent="0.3">
      <c r="A85" s="73">
        <v>40209</v>
      </c>
      <c r="B85" s="59">
        <v>1.579</v>
      </c>
      <c r="C85" s="59">
        <v>2.0089999999999999</v>
      </c>
      <c r="D85" s="58">
        <v>1.5149999999999999</v>
      </c>
    </row>
    <row r="86" spans="1:4" x14ac:dyDescent="0.3">
      <c r="A86" s="73">
        <v>40237</v>
      </c>
      <c r="B86" s="59">
        <v>0.39500000000000002</v>
      </c>
      <c r="C86" s="59">
        <v>0.375</v>
      </c>
      <c r="D86" s="58">
        <v>0.155</v>
      </c>
    </row>
    <row r="87" spans="1:4" x14ac:dyDescent="0.3">
      <c r="A87" s="73">
        <v>40268</v>
      </c>
      <c r="B87" s="59">
        <v>-0.85099999999999998</v>
      </c>
      <c r="C87" s="59">
        <v>0.34699999999999998</v>
      </c>
      <c r="D87" s="58">
        <v>3.0960000000000001</v>
      </c>
    </row>
    <row r="88" spans="1:4" x14ac:dyDescent="0.3">
      <c r="A88" s="73">
        <v>40298</v>
      </c>
      <c r="B88" s="59">
        <v>1.056</v>
      </c>
      <c r="C88" s="59">
        <v>1.758</v>
      </c>
      <c r="D88" s="58">
        <v>2.2389999999999999</v>
      </c>
    </row>
    <row r="89" spans="1:4" x14ac:dyDescent="0.3">
      <c r="A89" s="73">
        <v>40329</v>
      </c>
      <c r="B89" s="59">
        <v>1.7210000000000001</v>
      </c>
      <c r="C89" s="59">
        <v>-0.57099999999999995</v>
      </c>
      <c r="D89" s="58">
        <v>-3.5209999999999999</v>
      </c>
    </row>
    <row r="90" spans="1:4" x14ac:dyDescent="0.3">
      <c r="A90" s="73">
        <v>40359</v>
      </c>
      <c r="B90" s="59">
        <v>1.87</v>
      </c>
      <c r="C90" s="59">
        <v>2.0579999999999998</v>
      </c>
      <c r="D90" s="58">
        <v>1.304</v>
      </c>
    </row>
    <row r="91" spans="1:4" x14ac:dyDescent="0.3">
      <c r="A91" s="73">
        <v>40390</v>
      </c>
      <c r="B91" s="59">
        <v>0.67600000000000005</v>
      </c>
      <c r="C91" s="59">
        <v>2.0470000000000002</v>
      </c>
      <c r="D91" s="58">
        <v>3.4649999999999999</v>
      </c>
    </row>
    <row r="92" spans="1:4" x14ac:dyDescent="0.3">
      <c r="A92" s="73">
        <v>40421</v>
      </c>
      <c r="B92" s="59">
        <v>2.0470000000000002</v>
      </c>
      <c r="C92" s="59">
        <v>2.1890000000000001</v>
      </c>
      <c r="D92" s="58">
        <v>0.156</v>
      </c>
    </row>
    <row r="93" spans="1:4" x14ac:dyDescent="0.3">
      <c r="A93" s="73">
        <v>40451</v>
      </c>
      <c r="B93" s="59">
        <v>3.0000000000000001E-3</v>
      </c>
      <c r="C93" s="59">
        <v>0.59</v>
      </c>
      <c r="D93" s="58">
        <v>2.9689999999999999</v>
      </c>
    </row>
    <row r="94" spans="1:4" x14ac:dyDescent="0.3">
      <c r="A94" s="73">
        <v>40482</v>
      </c>
      <c r="B94" s="59">
        <v>-0.17799999999999999</v>
      </c>
      <c r="C94" s="59">
        <v>0.21</v>
      </c>
      <c r="D94" s="58">
        <v>2.4249999999999998</v>
      </c>
    </row>
    <row r="95" spans="1:4" x14ac:dyDescent="0.3">
      <c r="A95" s="73">
        <v>40512</v>
      </c>
      <c r="B95" s="59">
        <v>-0.68200000000000005</v>
      </c>
      <c r="C95" s="59">
        <v>-0.85499999999999998</v>
      </c>
      <c r="D95" s="58">
        <v>-1.1160000000000001</v>
      </c>
    </row>
    <row r="96" spans="1:4" x14ac:dyDescent="0.3">
      <c r="A96" s="73">
        <v>40543</v>
      </c>
      <c r="B96" s="59">
        <v>-1.825</v>
      </c>
      <c r="C96" s="59">
        <v>-0.94799999999999995</v>
      </c>
      <c r="D96" s="58">
        <v>1.7609999999999999</v>
      </c>
    </row>
    <row r="97" spans="1:4" x14ac:dyDescent="0.3">
      <c r="A97" s="73">
        <v>40574</v>
      </c>
      <c r="B97" s="59">
        <v>7.0000000000000001E-3</v>
      </c>
      <c r="C97" s="59">
        <v>0.23699999999999999</v>
      </c>
      <c r="D97" s="58">
        <v>2.1019999999999999</v>
      </c>
    </row>
    <row r="98" spans="1:4" x14ac:dyDescent="0.3">
      <c r="A98" s="73">
        <v>40602</v>
      </c>
      <c r="B98" s="59">
        <v>-8.5000000000000006E-2</v>
      </c>
      <c r="C98" s="59">
        <v>0.70899999999999996</v>
      </c>
      <c r="D98" s="58">
        <v>1.337</v>
      </c>
    </row>
    <row r="99" spans="1:4" x14ac:dyDescent="0.3">
      <c r="A99" s="73">
        <v>40633</v>
      </c>
      <c r="B99" s="59">
        <v>-5.7000000000000002E-2</v>
      </c>
      <c r="C99" s="59">
        <v>2.8000000000000001E-2</v>
      </c>
      <c r="D99" s="58">
        <v>0.42</v>
      </c>
    </row>
    <row r="100" spans="1:4" x14ac:dyDescent="0.3">
      <c r="A100" s="73">
        <v>40663</v>
      </c>
      <c r="B100" s="59">
        <v>1.1539999999999999</v>
      </c>
      <c r="C100" s="59">
        <v>1.698</v>
      </c>
      <c r="D100" s="58">
        <v>1.52</v>
      </c>
    </row>
    <row r="101" spans="1:4" x14ac:dyDescent="0.3">
      <c r="A101" s="73">
        <v>40694</v>
      </c>
      <c r="B101" s="59">
        <v>1.58</v>
      </c>
      <c r="C101" s="59">
        <v>1.4319999999999999</v>
      </c>
      <c r="D101" s="58">
        <v>0.48899999999999999</v>
      </c>
    </row>
    <row r="102" spans="1:4" x14ac:dyDescent="0.3">
      <c r="A102" s="73">
        <v>40724</v>
      </c>
      <c r="B102" s="59">
        <v>-0.307</v>
      </c>
      <c r="C102" s="59">
        <v>-0.83299999999999996</v>
      </c>
      <c r="D102" s="58">
        <v>-1.004</v>
      </c>
    </row>
    <row r="103" spans="1:4" x14ac:dyDescent="0.3">
      <c r="A103" s="73">
        <v>40755</v>
      </c>
      <c r="B103" s="59">
        <v>1.8260000000000001</v>
      </c>
      <c r="C103" s="59">
        <v>2.294</v>
      </c>
      <c r="D103" s="58">
        <v>1.2350000000000001</v>
      </c>
    </row>
    <row r="104" spans="1:4" x14ac:dyDescent="0.3">
      <c r="A104" s="73">
        <v>40786</v>
      </c>
      <c r="B104" s="59">
        <v>2.802</v>
      </c>
      <c r="C104" s="59">
        <v>0.10299999999999999</v>
      </c>
      <c r="D104" s="58">
        <v>-4.0069999999999997</v>
      </c>
    </row>
    <row r="105" spans="1:4" x14ac:dyDescent="0.3">
      <c r="A105" s="73">
        <v>40816</v>
      </c>
      <c r="B105" s="59">
        <v>1.6020000000000001</v>
      </c>
      <c r="C105" s="59">
        <v>-0.13400000000000001</v>
      </c>
      <c r="D105" s="58">
        <v>-3.5950000000000002</v>
      </c>
    </row>
    <row r="106" spans="1:4" x14ac:dyDescent="0.3">
      <c r="A106" s="73">
        <v>40847</v>
      </c>
      <c r="B106" s="59">
        <v>-0.76</v>
      </c>
      <c r="C106" s="59">
        <v>1.754</v>
      </c>
      <c r="D106" s="58">
        <v>5.9560000000000004</v>
      </c>
    </row>
    <row r="107" spans="1:4" x14ac:dyDescent="0.3">
      <c r="A107" s="73">
        <v>40877</v>
      </c>
      <c r="B107" s="59">
        <v>0.73</v>
      </c>
      <c r="C107" s="59">
        <v>-1.8660000000000001</v>
      </c>
      <c r="D107" s="58">
        <v>-2.2120000000000002</v>
      </c>
    </row>
    <row r="108" spans="1:4" x14ac:dyDescent="0.3">
      <c r="A108" s="73">
        <v>40908</v>
      </c>
      <c r="B108" s="59">
        <v>0.94599999999999995</v>
      </c>
      <c r="C108" s="59">
        <v>1.9259999999999999</v>
      </c>
      <c r="D108" s="58">
        <v>2.4790000000000001</v>
      </c>
    </row>
    <row r="109" spans="1:4" x14ac:dyDescent="0.3">
      <c r="A109" s="73">
        <v>40939</v>
      </c>
      <c r="B109" s="59">
        <v>0.45100000000000001</v>
      </c>
      <c r="C109" s="59">
        <v>2.1829999999999998</v>
      </c>
      <c r="D109" s="58">
        <v>2.903</v>
      </c>
    </row>
    <row r="110" spans="1:4" x14ac:dyDescent="0.3">
      <c r="A110" s="73">
        <v>40968</v>
      </c>
      <c r="B110" s="59">
        <v>-0.70899999999999996</v>
      </c>
      <c r="C110" s="59">
        <v>0.84899999999999998</v>
      </c>
      <c r="D110" s="58">
        <v>2.2789999999999999</v>
      </c>
    </row>
    <row r="111" spans="1:4" x14ac:dyDescent="0.3">
      <c r="A111" s="73">
        <v>40999</v>
      </c>
      <c r="B111" s="59">
        <v>-1.032</v>
      </c>
      <c r="C111" s="59">
        <v>-0.59</v>
      </c>
      <c r="D111" s="58">
        <v>-9.4E-2</v>
      </c>
    </row>
    <row r="112" spans="1:4" x14ac:dyDescent="0.3">
      <c r="A112" s="73">
        <v>41029</v>
      </c>
      <c r="B112" s="59">
        <v>1.5249999999999999</v>
      </c>
      <c r="C112" s="59">
        <v>1.276</v>
      </c>
      <c r="D112" s="58">
        <v>1.022</v>
      </c>
    </row>
    <row r="113" spans="1:4" x14ac:dyDescent="0.3">
      <c r="A113" s="73">
        <v>41060</v>
      </c>
      <c r="B113" s="59">
        <v>1.833</v>
      </c>
      <c r="C113" s="59">
        <v>0.57899999999999996</v>
      </c>
      <c r="D113" s="58">
        <v>-1.2070000000000001</v>
      </c>
    </row>
    <row r="114" spans="1:4" x14ac:dyDescent="0.3">
      <c r="A114" s="73">
        <v>41090</v>
      </c>
      <c r="B114" s="59">
        <v>-0.377</v>
      </c>
      <c r="C114" s="59">
        <v>0.499</v>
      </c>
      <c r="D114" s="58">
        <v>2.0339999999999998</v>
      </c>
    </row>
    <row r="115" spans="1:4" x14ac:dyDescent="0.3">
      <c r="A115" s="73">
        <v>41121</v>
      </c>
      <c r="B115" s="59">
        <v>1.0669999999999999</v>
      </c>
      <c r="C115" s="59">
        <v>2.8069999999999999</v>
      </c>
      <c r="D115" s="58">
        <v>1.9159999999999999</v>
      </c>
    </row>
    <row r="116" spans="1:4" x14ac:dyDescent="0.3">
      <c r="A116" s="73">
        <v>41152</v>
      </c>
      <c r="B116" s="59">
        <v>-0.13500000000000001</v>
      </c>
      <c r="C116" s="59">
        <v>0.4</v>
      </c>
      <c r="D116" s="58">
        <v>1.206</v>
      </c>
    </row>
    <row r="117" spans="1:4" x14ac:dyDescent="0.3">
      <c r="A117" s="73">
        <v>41182</v>
      </c>
      <c r="B117" s="59">
        <v>-0.34399999999999997</v>
      </c>
      <c r="C117" s="59">
        <v>0.73899999999999999</v>
      </c>
      <c r="D117" s="58">
        <v>1.4239999999999999</v>
      </c>
    </row>
    <row r="118" spans="1:4" x14ac:dyDescent="0.3">
      <c r="A118" s="73">
        <v>41213</v>
      </c>
      <c r="B118" s="59">
        <v>-0.17299999999999999</v>
      </c>
      <c r="C118" s="59">
        <v>1.3160000000000001</v>
      </c>
      <c r="D118" s="58">
        <v>0.82499999999999996</v>
      </c>
    </row>
    <row r="119" spans="1:4" x14ac:dyDescent="0.3">
      <c r="A119" s="73">
        <v>41243</v>
      </c>
      <c r="B119" s="59">
        <v>0.57499999999999996</v>
      </c>
      <c r="C119" s="59">
        <v>-8.2000000000000003E-2</v>
      </c>
      <c r="D119" s="58">
        <v>0.74199999999999999</v>
      </c>
    </row>
    <row r="120" spans="1:4" x14ac:dyDescent="0.3">
      <c r="A120" s="73">
        <v>41274</v>
      </c>
      <c r="B120" s="59">
        <v>-0.49399999999999999</v>
      </c>
      <c r="C120" s="59">
        <v>-1.9E-2</v>
      </c>
      <c r="D120" s="58">
        <v>1.5860000000000001</v>
      </c>
    </row>
    <row r="121" spans="1:4" x14ac:dyDescent="0.3">
      <c r="A121" s="73">
        <v>41305</v>
      </c>
      <c r="B121" s="59">
        <v>-0.95</v>
      </c>
      <c r="C121" s="59">
        <v>-0.71799999999999997</v>
      </c>
      <c r="D121" s="58">
        <v>1.3759999999999999</v>
      </c>
    </row>
    <row r="122" spans="1:4" x14ac:dyDescent="0.3">
      <c r="A122" s="73">
        <v>41333</v>
      </c>
      <c r="B122" s="59">
        <v>0.59399999999999997</v>
      </c>
      <c r="C122" s="59">
        <v>0.70699999999999996</v>
      </c>
      <c r="D122" s="58">
        <v>0.46300000000000002</v>
      </c>
    </row>
    <row r="123" spans="1:4" x14ac:dyDescent="0.3">
      <c r="A123" s="73">
        <v>41364</v>
      </c>
      <c r="B123" s="59">
        <v>0.107</v>
      </c>
      <c r="C123" s="59">
        <v>6.6000000000000003E-2</v>
      </c>
      <c r="D123" s="58">
        <v>1.0309999999999999</v>
      </c>
    </row>
    <row r="124" spans="1:4" x14ac:dyDescent="0.3">
      <c r="A124" s="73">
        <v>41394</v>
      </c>
      <c r="B124" s="59">
        <v>1.0529999999999999</v>
      </c>
      <c r="C124" s="59">
        <v>1.7</v>
      </c>
      <c r="D124" s="58">
        <v>1.857</v>
      </c>
    </row>
    <row r="125" spans="1:4" x14ac:dyDescent="0.3">
      <c r="A125" s="73">
        <v>41425</v>
      </c>
      <c r="B125" s="59">
        <v>-2.0150000000000001</v>
      </c>
      <c r="C125" s="59">
        <v>-2.2810000000000001</v>
      </c>
      <c r="D125" s="58">
        <v>-0.53100000000000003</v>
      </c>
    </row>
    <row r="126" spans="1:4" x14ac:dyDescent="0.3">
      <c r="A126" s="73">
        <v>41455</v>
      </c>
      <c r="B126" s="59">
        <v>-1.2549999999999999</v>
      </c>
      <c r="C126" s="59">
        <v>-2.76</v>
      </c>
      <c r="D126" s="58">
        <v>-2.6360000000000001</v>
      </c>
    </row>
    <row r="127" spans="1:4" x14ac:dyDescent="0.3">
      <c r="A127" s="73">
        <v>41486</v>
      </c>
      <c r="B127" s="59">
        <v>-0.19500000000000001</v>
      </c>
      <c r="C127" s="59">
        <v>0.73899999999999999</v>
      </c>
      <c r="D127" s="58">
        <v>1.88</v>
      </c>
    </row>
    <row r="128" spans="1:4" x14ac:dyDescent="0.3">
      <c r="A128" s="73">
        <v>41517</v>
      </c>
      <c r="B128" s="59">
        <v>-0.53900000000000003</v>
      </c>
      <c r="C128" s="59">
        <v>-0.66900000000000004</v>
      </c>
      <c r="D128" s="58">
        <v>-0.62</v>
      </c>
    </row>
    <row r="129" spans="1:4" x14ac:dyDescent="0.3">
      <c r="A129" s="73">
        <v>41547</v>
      </c>
      <c r="B129" s="59">
        <v>0.76400000000000001</v>
      </c>
      <c r="C129" s="59">
        <v>0.82399999999999995</v>
      </c>
      <c r="D129" s="58">
        <v>0.99099999999999999</v>
      </c>
    </row>
    <row r="130" spans="1:4" x14ac:dyDescent="0.3">
      <c r="A130" s="73">
        <v>41578</v>
      </c>
      <c r="B130" s="59">
        <v>0.54800000000000004</v>
      </c>
      <c r="C130" s="59">
        <v>1.4970000000000001</v>
      </c>
      <c r="D130" s="58">
        <v>2.4580000000000002</v>
      </c>
    </row>
    <row r="131" spans="1:4" x14ac:dyDescent="0.3">
      <c r="A131" s="73">
        <v>41608</v>
      </c>
      <c r="B131" s="59">
        <v>-0.42699999999999999</v>
      </c>
      <c r="C131" s="59">
        <v>-0.28799999999999998</v>
      </c>
      <c r="D131" s="58">
        <v>0.46500000000000002</v>
      </c>
    </row>
    <row r="132" spans="1:4" x14ac:dyDescent="0.3">
      <c r="A132" s="73">
        <v>41639</v>
      </c>
      <c r="B132" s="59">
        <v>-1.0389999999999999</v>
      </c>
      <c r="C132" s="59">
        <v>-0.18</v>
      </c>
      <c r="D132" s="58">
        <v>0.54800000000000004</v>
      </c>
    </row>
    <row r="133" spans="1:4" x14ac:dyDescent="0.3">
      <c r="A133" s="73">
        <v>41670</v>
      </c>
      <c r="B133" s="59">
        <v>1.597</v>
      </c>
      <c r="C133" s="59">
        <v>1.784</v>
      </c>
      <c r="D133" s="58">
        <v>0.74</v>
      </c>
    </row>
    <row r="134" spans="1:4" x14ac:dyDescent="0.3">
      <c r="A134" s="73">
        <v>41698</v>
      </c>
      <c r="B134" s="59">
        <v>0.312</v>
      </c>
      <c r="C134" s="59">
        <v>1.097</v>
      </c>
      <c r="D134" s="58">
        <v>2.004</v>
      </c>
    </row>
    <row r="135" spans="1:4" x14ac:dyDescent="0.3">
      <c r="A135" s="73">
        <v>41729</v>
      </c>
      <c r="B135" s="59">
        <v>-0.28199999999999997</v>
      </c>
      <c r="C135" s="59">
        <v>7.0999999999999994E-2</v>
      </c>
      <c r="D135" s="58">
        <v>0.23100000000000001</v>
      </c>
    </row>
    <row r="136" spans="1:4" x14ac:dyDescent="0.3">
      <c r="A136" s="73">
        <v>41759</v>
      </c>
      <c r="B136" s="59">
        <v>0.624</v>
      </c>
      <c r="C136" s="59">
        <v>1.1659999999999999</v>
      </c>
      <c r="D136" s="58">
        <v>0.69299999999999995</v>
      </c>
    </row>
    <row r="137" spans="1:4" x14ac:dyDescent="0.3">
      <c r="A137" s="73">
        <v>41790</v>
      </c>
      <c r="B137" s="59">
        <v>1.091</v>
      </c>
      <c r="C137" s="59">
        <v>1.5289999999999999</v>
      </c>
      <c r="D137" s="58">
        <v>1.0069999999999999</v>
      </c>
    </row>
    <row r="138" spans="1:4" x14ac:dyDescent="0.3">
      <c r="A138" s="73">
        <v>41820</v>
      </c>
      <c r="B138" s="59">
        <v>-0.156</v>
      </c>
      <c r="C138" s="59">
        <v>0.16700000000000001</v>
      </c>
      <c r="D138" s="58">
        <v>0.84499999999999997</v>
      </c>
    </row>
    <row r="139" spans="1:4" x14ac:dyDescent="0.3">
      <c r="A139" s="73">
        <v>41851</v>
      </c>
      <c r="B139" s="59">
        <v>-0.15</v>
      </c>
      <c r="C139" s="59">
        <v>-0.11799999999999999</v>
      </c>
      <c r="D139" s="58">
        <v>-1.3220000000000001</v>
      </c>
    </row>
    <row r="140" spans="1:4" x14ac:dyDescent="0.3">
      <c r="A140" s="73">
        <v>41882</v>
      </c>
      <c r="B140" s="59">
        <v>1.218</v>
      </c>
      <c r="C140" s="59">
        <v>1.427</v>
      </c>
      <c r="D140" s="58">
        <v>1.52</v>
      </c>
    </row>
    <row r="141" spans="1:4" x14ac:dyDescent="0.3">
      <c r="A141" s="73">
        <v>41912</v>
      </c>
      <c r="B141" s="59">
        <v>-0.63300000000000001</v>
      </c>
      <c r="C141" s="59">
        <v>-1.2430000000000001</v>
      </c>
      <c r="D141" s="58">
        <v>-2.0979999999999999</v>
      </c>
    </row>
    <row r="142" spans="1:4" x14ac:dyDescent="0.3">
      <c r="A142" s="73">
        <v>41943</v>
      </c>
      <c r="B142" s="59">
        <v>1.0860000000000001</v>
      </c>
      <c r="C142" s="59">
        <v>0.93300000000000005</v>
      </c>
      <c r="D142" s="58">
        <v>1.1379999999999999</v>
      </c>
    </row>
    <row r="143" spans="1:4" x14ac:dyDescent="0.3">
      <c r="A143" s="73">
        <v>41973</v>
      </c>
      <c r="B143" s="59">
        <v>0.92200000000000004</v>
      </c>
      <c r="C143" s="59">
        <v>0.63500000000000001</v>
      </c>
      <c r="D143" s="58">
        <v>-0.71499999999999997</v>
      </c>
    </row>
    <row r="144" spans="1:4" x14ac:dyDescent="0.3">
      <c r="A144" s="73">
        <v>42004</v>
      </c>
      <c r="B144" s="59">
        <v>0.25900000000000001</v>
      </c>
      <c r="C144" s="59">
        <v>-0.14000000000000001</v>
      </c>
      <c r="D144" s="58">
        <v>-1.474</v>
      </c>
    </row>
    <row r="145" spans="1:4" x14ac:dyDescent="0.3">
      <c r="A145" s="73">
        <v>42035</v>
      </c>
      <c r="B145" s="59">
        <v>2.883</v>
      </c>
      <c r="C145" s="59">
        <v>2.74</v>
      </c>
      <c r="D145" s="58">
        <v>0.69</v>
      </c>
    </row>
    <row r="146" spans="1:4" x14ac:dyDescent="0.3">
      <c r="A146" s="73">
        <v>42063</v>
      </c>
      <c r="B146" s="59">
        <v>-1.748</v>
      </c>
      <c r="C146" s="59">
        <v>-0.83599999999999997</v>
      </c>
      <c r="D146" s="58">
        <v>2.3860000000000001</v>
      </c>
    </row>
    <row r="147" spans="1:4" x14ac:dyDescent="0.3">
      <c r="A147" s="73">
        <v>42094</v>
      </c>
      <c r="B147" s="59">
        <v>0.65900000000000003</v>
      </c>
      <c r="C147" s="59">
        <v>0.372</v>
      </c>
      <c r="D147" s="58">
        <v>-0.53100000000000003</v>
      </c>
    </row>
    <row r="148" spans="1:4" x14ac:dyDescent="0.3">
      <c r="A148" s="73">
        <v>42124</v>
      </c>
      <c r="B148" s="59">
        <v>-0.61799999999999999</v>
      </c>
      <c r="C148" s="59">
        <v>-0.53400000000000003</v>
      </c>
      <c r="D148" s="58">
        <v>1.1990000000000001</v>
      </c>
    </row>
    <row r="149" spans="1:4" x14ac:dyDescent="0.3">
      <c r="A149" s="73">
        <v>42155</v>
      </c>
      <c r="B149" s="59">
        <v>-0.23400000000000001</v>
      </c>
      <c r="C149" s="59">
        <v>-0.505</v>
      </c>
      <c r="D149" s="58">
        <v>0.29599999999999999</v>
      </c>
    </row>
    <row r="150" spans="1:4" x14ac:dyDescent="0.3">
      <c r="A150" s="73">
        <v>42185</v>
      </c>
      <c r="B150" s="59">
        <v>-0.996</v>
      </c>
      <c r="C150" s="59">
        <v>-1.639</v>
      </c>
      <c r="D150" s="58">
        <v>-1.5249999999999999</v>
      </c>
    </row>
    <row r="151" spans="1:4" x14ac:dyDescent="0.3">
      <c r="A151" s="73">
        <v>42216</v>
      </c>
      <c r="B151" s="59">
        <v>0.93899999999999995</v>
      </c>
      <c r="C151" s="59">
        <v>0.53900000000000003</v>
      </c>
      <c r="D151" s="58">
        <v>-0.61599999999999999</v>
      </c>
    </row>
    <row r="152" spans="1:4" x14ac:dyDescent="0.3">
      <c r="A152" s="73">
        <v>42247</v>
      </c>
      <c r="B152" s="59">
        <v>5.7000000000000002E-2</v>
      </c>
      <c r="C152" s="59">
        <v>-0.67100000000000004</v>
      </c>
      <c r="D152" s="58">
        <v>-1.7609999999999999</v>
      </c>
    </row>
    <row r="153" spans="1:4" x14ac:dyDescent="0.3">
      <c r="A153" s="73">
        <v>42277</v>
      </c>
      <c r="B153" s="59">
        <v>0.89800000000000002</v>
      </c>
      <c r="C153" s="59">
        <v>0.52400000000000002</v>
      </c>
      <c r="D153" s="58">
        <v>-2.5939999999999999</v>
      </c>
    </row>
    <row r="154" spans="1:4" x14ac:dyDescent="0.3">
      <c r="A154" s="73">
        <v>42308</v>
      </c>
      <c r="B154" s="59">
        <v>-0.35599999999999998</v>
      </c>
      <c r="C154" s="59">
        <v>0.53600000000000003</v>
      </c>
      <c r="D154" s="58">
        <v>2.726</v>
      </c>
    </row>
    <row r="155" spans="1:4" x14ac:dyDescent="0.3">
      <c r="A155" s="73">
        <v>42338</v>
      </c>
      <c r="B155" s="59">
        <v>-0.42299999999999999</v>
      </c>
      <c r="C155" s="59">
        <v>-0.224</v>
      </c>
      <c r="D155" s="58">
        <v>-2.2450000000000001</v>
      </c>
    </row>
    <row r="156" spans="1:4" x14ac:dyDescent="0.3">
      <c r="A156" s="73">
        <v>42369</v>
      </c>
      <c r="B156" s="59">
        <v>-0.157</v>
      </c>
      <c r="C156" s="59">
        <v>-0.86699999999999999</v>
      </c>
      <c r="D156" s="58">
        <v>-2.5790000000000002</v>
      </c>
    </row>
    <row r="157" spans="1:4" x14ac:dyDescent="0.3">
      <c r="A157" s="73">
        <v>42400</v>
      </c>
      <c r="B157" s="59">
        <v>2.2000000000000002</v>
      </c>
      <c r="C157" s="59">
        <v>0.439</v>
      </c>
      <c r="D157" s="58">
        <v>-1.5820000000000001</v>
      </c>
    </row>
    <row r="158" spans="1:4" x14ac:dyDescent="0.3">
      <c r="A158" s="73">
        <v>42429</v>
      </c>
      <c r="B158" s="59">
        <v>0.98399999999999999</v>
      </c>
      <c r="C158" s="59">
        <v>0.73499999999999999</v>
      </c>
      <c r="D158" s="58">
        <v>0.46500000000000002</v>
      </c>
    </row>
    <row r="159" spans="1:4" x14ac:dyDescent="0.3">
      <c r="A159" s="73">
        <v>42460</v>
      </c>
      <c r="B159" s="59">
        <v>0.13900000000000001</v>
      </c>
      <c r="C159" s="59">
        <v>2.714</v>
      </c>
      <c r="D159" s="58">
        <v>4.42</v>
      </c>
    </row>
    <row r="160" spans="1:4" x14ac:dyDescent="0.3">
      <c r="A160" s="73">
        <v>42490</v>
      </c>
      <c r="B160" s="59">
        <v>-0.12</v>
      </c>
      <c r="C160" s="59">
        <v>1.36</v>
      </c>
      <c r="D160" s="58">
        <v>3.996</v>
      </c>
    </row>
    <row r="161" spans="1:4" x14ac:dyDescent="0.3">
      <c r="A161" s="73">
        <v>42521</v>
      </c>
      <c r="B161" s="59">
        <v>3.7999999999999999E-2</v>
      </c>
      <c r="C161" s="59">
        <v>-6.5000000000000002E-2</v>
      </c>
      <c r="D161" s="58">
        <v>0.72199999999999998</v>
      </c>
    </row>
    <row r="162" spans="1:4" x14ac:dyDescent="0.3">
      <c r="A162" s="73">
        <v>42551</v>
      </c>
      <c r="B162" s="59">
        <v>2.3250000000000002</v>
      </c>
      <c r="C162" s="59">
        <v>2.1800000000000002</v>
      </c>
      <c r="D162" s="58">
        <v>1.0840000000000001</v>
      </c>
    </row>
    <row r="163" spans="1:4" x14ac:dyDescent="0.3">
      <c r="A163" s="73">
        <v>42582</v>
      </c>
      <c r="B163" s="59">
        <v>0.42499999999999999</v>
      </c>
      <c r="C163" s="59">
        <v>1.45</v>
      </c>
      <c r="D163" s="58">
        <v>2.5259999999999998</v>
      </c>
    </row>
    <row r="164" spans="1:4" x14ac:dyDescent="0.3">
      <c r="A164" s="73">
        <v>42613</v>
      </c>
      <c r="B164" s="59">
        <v>-0.57299999999999995</v>
      </c>
      <c r="C164" s="59">
        <v>0.27400000000000002</v>
      </c>
      <c r="D164" s="58">
        <v>2.2269999999999999</v>
      </c>
    </row>
    <row r="165" spans="1:4" x14ac:dyDescent="0.3">
      <c r="A165" s="73">
        <v>42643</v>
      </c>
      <c r="B165" s="59">
        <v>-0.184</v>
      </c>
      <c r="C165" s="59">
        <v>-0.28799999999999998</v>
      </c>
      <c r="D165" s="58">
        <v>0.64700000000000002</v>
      </c>
    </row>
    <row r="166" spans="1:4" x14ac:dyDescent="0.3">
      <c r="A166" s="73">
        <v>42674</v>
      </c>
      <c r="B166" s="59">
        <v>-1.151</v>
      </c>
      <c r="C166" s="59">
        <v>-0.82799999999999996</v>
      </c>
      <c r="D166" s="58">
        <v>0.313</v>
      </c>
    </row>
    <row r="167" spans="1:4" x14ac:dyDescent="0.3">
      <c r="A167" s="73">
        <v>42704</v>
      </c>
      <c r="B167" s="59">
        <v>-2.7309999999999999</v>
      </c>
      <c r="C167" s="59">
        <v>-2.6789999999999998</v>
      </c>
      <c r="D167" s="58">
        <v>-0.39400000000000002</v>
      </c>
    </row>
    <row r="168" spans="1:4" x14ac:dyDescent="0.3">
      <c r="A168" s="73">
        <v>42735</v>
      </c>
      <c r="B168" s="59">
        <v>-0.115</v>
      </c>
      <c r="C168" s="59">
        <v>0.626</v>
      </c>
      <c r="D168" s="58">
        <v>1.9670000000000001</v>
      </c>
    </row>
    <row r="169" spans="1:4" x14ac:dyDescent="0.3">
      <c r="A169" s="73">
        <v>42766</v>
      </c>
      <c r="B169" s="59">
        <v>0.22600000000000001</v>
      </c>
      <c r="C169" s="59">
        <v>0.41</v>
      </c>
      <c r="D169" s="58">
        <v>1.343</v>
      </c>
    </row>
    <row r="170" spans="1:4" x14ac:dyDescent="0.3">
      <c r="A170" s="73">
        <v>42794</v>
      </c>
      <c r="B170" s="59">
        <v>0.51700000000000002</v>
      </c>
      <c r="C170" s="59">
        <v>1.131</v>
      </c>
      <c r="D170" s="58">
        <v>1.5609999999999999</v>
      </c>
    </row>
    <row r="171" spans="1:4" x14ac:dyDescent="0.3">
      <c r="A171" s="73">
        <v>42825</v>
      </c>
      <c r="B171" s="59">
        <v>-5.8999999999999997E-2</v>
      </c>
      <c r="C171" s="59">
        <v>-0.123</v>
      </c>
      <c r="D171" s="58">
        <v>-0.21</v>
      </c>
    </row>
    <row r="172" spans="1:4" x14ac:dyDescent="0.3">
      <c r="A172" s="73">
        <v>42855</v>
      </c>
      <c r="B172" s="59">
        <v>0.7</v>
      </c>
      <c r="C172" s="59">
        <v>0.998</v>
      </c>
      <c r="D172" s="58">
        <v>1.133</v>
      </c>
    </row>
    <row r="173" spans="1:4" x14ac:dyDescent="0.3">
      <c r="A173" s="73">
        <v>42886</v>
      </c>
      <c r="B173" s="59">
        <v>0.67</v>
      </c>
      <c r="C173" s="59">
        <v>1.1619999999999999</v>
      </c>
      <c r="D173" s="58">
        <v>0.89300000000000002</v>
      </c>
    </row>
    <row r="174" spans="1:4" x14ac:dyDescent="0.3">
      <c r="A174" s="73">
        <v>42916</v>
      </c>
      <c r="B174" s="59">
        <v>-0.15</v>
      </c>
      <c r="C174" s="59">
        <v>0.245</v>
      </c>
      <c r="D174" s="58">
        <v>0.106</v>
      </c>
    </row>
    <row r="175" spans="1:4" x14ac:dyDescent="0.3">
      <c r="A175" s="73">
        <v>42947</v>
      </c>
      <c r="B175" s="59">
        <v>0.152</v>
      </c>
      <c r="C175" s="59">
        <v>0.747</v>
      </c>
      <c r="D175" s="58">
        <v>1.153</v>
      </c>
    </row>
    <row r="176" spans="1:4" x14ac:dyDescent="0.3">
      <c r="A176" s="73">
        <v>42978</v>
      </c>
      <c r="B176" s="59">
        <v>1.131</v>
      </c>
      <c r="C176" s="59">
        <v>0.84699999999999998</v>
      </c>
      <c r="D176" s="58">
        <v>-2.5999999999999999E-2</v>
      </c>
    </row>
    <row r="177" spans="1:4" x14ac:dyDescent="0.3">
      <c r="A177" s="73">
        <v>43008</v>
      </c>
      <c r="B177" s="59">
        <v>-0.88</v>
      </c>
      <c r="C177" s="59">
        <v>-0.22800000000000001</v>
      </c>
      <c r="D177" s="58">
        <v>0.89800000000000002</v>
      </c>
    </row>
    <row r="178" spans="1:4" x14ac:dyDescent="0.3">
      <c r="A178" s="73">
        <v>43039</v>
      </c>
      <c r="B178" s="59">
        <v>-0.11</v>
      </c>
      <c r="C178" s="59">
        <v>0.40400000000000003</v>
      </c>
      <c r="D178" s="58">
        <v>0.38600000000000001</v>
      </c>
    </row>
    <row r="179" spans="1:4" x14ac:dyDescent="0.3">
      <c r="A179" s="73">
        <v>43069</v>
      </c>
      <c r="B179" s="59">
        <v>-0.121</v>
      </c>
      <c r="C179" s="59">
        <v>-0.14000000000000001</v>
      </c>
      <c r="D179" s="58">
        <v>-0.26800000000000002</v>
      </c>
    </row>
    <row r="180" spans="1:4" x14ac:dyDescent="0.3">
      <c r="A180" s="73">
        <v>43100</v>
      </c>
      <c r="B180" s="59">
        <v>0.34599999999999997</v>
      </c>
      <c r="C180" s="59">
        <v>0.85299999999999998</v>
      </c>
      <c r="D180" s="58">
        <v>0.29099999999999998</v>
      </c>
    </row>
    <row r="181" spans="1:4" x14ac:dyDescent="0.3">
      <c r="A181" s="73">
        <v>43131</v>
      </c>
      <c r="B181" s="59">
        <v>-1.3959999999999999</v>
      </c>
      <c r="C181" s="59">
        <v>-0.92400000000000004</v>
      </c>
      <c r="D181" s="58">
        <v>0.64100000000000001</v>
      </c>
    </row>
    <row r="182" spans="1:4" x14ac:dyDescent="0.3">
      <c r="A182" s="73">
        <v>43159</v>
      </c>
      <c r="B182" s="59">
        <v>-0.78800000000000003</v>
      </c>
      <c r="C182" s="59">
        <v>-1.496</v>
      </c>
      <c r="D182" s="58">
        <v>-0.93200000000000005</v>
      </c>
    </row>
    <row r="183" spans="1:4" x14ac:dyDescent="0.3">
      <c r="A183" s="73">
        <v>43190</v>
      </c>
      <c r="B183" s="59">
        <v>0.98799999999999999</v>
      </c>
      <c r="C183" s="59">
        <v>0.215</v>
      </c>
      <c r="D183" s="58">
        <v>-0.61699999999999999</v>
      </c>
    </row>
    <row r="184" spans="1:4" x14ac:dyDescent="0.3">
      <c r="A184" s="73">
        <v>43220</v>
      </c>
      <c r="B184" s="59">
        <v>-0.82299999999999995</v>
      </c>
      <c r="C184" s="59">
        <v>-0.85199999999999998</v>
      </c>
      <c r="D184" s="58">
        <v>0.66500000000000004</v>
      </c>
    </row>
    <row r="185" spans="1:4" x14ac:dyDescent="0.3">
      <c r="A185" s="73">
        <v>43251</v>
      </c>
      <c r="B185" s="59">
        <v>0.90800000000000003</v>
      </c>
      <c r="C185" s="59">
        <v>0.45</v>
      </c>
      <c r="D185" s="58">
        <v>-1.4999999999999999E-2</v>
      </c>
    </row>
    <row r="186" spans="1:4" x14ac:dyDescent="0.3">
      <c r="A186" s="73">
        <v>43281</v>
      </c>
      <c r="B186" s="59">
        <v>2.9000000000000001E-2</v>
      </c>
      <c r="C186" s="59">
        <v>-0.54</v>
      </c>
      <c r="D186" s="58">
        <v>0.34499999999999997</v>
      </c>
    </row>
    <row r="187" spans="1:4" x14ac:dyDescent="0.3">
      <c r="A187" s="73">
        <v>43312</v>
      </c>
      <c r="B187" s="59">
        <v>-0.45300000000000001</v>
      </c>
      <c r="C187" s="59">
        <v>0.74099999999999999</v>
      </c>
      <c r="D187" s="58">
        <v>1.117</v>
      </c>
    </row>
    <row r="188" spans="1:4" x14ac:dyDescent="0.3">
      <c r="A188" s="73">
        <v>43343</v>
      </c>
      <c r="B188" s="59">
        <v>0.78100000000000003</v>
      </c>
      <c r="C188" s="59">
        <v>0.54400000000000004</v>
      </c>
      <c r="D188" s="58">
        <v>0.72399999999999998</v>
      </c>
    </row>
    <row r="189" spans="1:4" x14ac:dyDescent="0.3">
      <c r="A189" s="73">
        <v>43373</v>
      </c>
      <c r="B189" s="59">
        <v>-0.97799999999999998</v>
      </c>
      <c r="C189" s="59">
        <v>-0.32500000000000001</v>
      </c>
      <c r="D189" s="58">
        <v>0.58099999999999996</v>
      </c>
    </row>
    <row r="190" spans="1:4" x14ac:dyDescent="0.3">
      <c r="A190" s="73">
        <v>43404</v>
      </c>
      <c r="B190" s="59">
        <v>-0.52700000000000002</v>
      </c>
      <c r="C190" s="59">
        <v>-1.351</v>
      </c>
      <c r="D190" s="58">
        <v>-1.6379999999999999</v>
      </c>
    </row>
    <row r="191" spans="1:4" x14ac:dyDescent="0.3">
      <c r="A191" s="73">
        <v>43434</v>
      </c>
      <c r="B191" s="59">
        <v>0.9</v>
      </c>
      <c r="C191" s="59">
        <v>-0.191</v>
      </c>
      <c r="D191" s="58">
        <v>-0.90700000000000003</v>
      </c>
    </row>
    <row r="192" spans="1:4" x14ac:dyDescent="0.3">
      <c r="A192" s="73">
        <v>43465</v>
      </c>
      <c r="B192" s="59">
        <v>2.2200000000000002</v>
      </c>
      <c r="C192" s="59">
        <v>1.5009999999999999</v>
      </c>
      <c r="D192" s="58">
        <v>-2.1920000000000002</v>
      </c>
    </row>
    <row r="193" spans="1:4" x14ac:dyDescent="0.3">
      <c r="A193" s="73">
        <v>43496</v>
      </c>
      <c r="B193" s="59">
        <v>0.46700000000000003</v>
      </c>
      <c r="C193" s="59">
        <v>2.093</v>
      </c>
      <c r="D193" s="58">
        <v>4.593</v>
      </c>
    </row>
    <row r="194" spans="1:4" x14ac:dyDescent="0.3">
      <c r="A194" s="73">
        <v>43524</v>
      </c>
      <c r="B194" s="59">
        <v>-0.27800000000000002</v>
      </c>
      <c r="C194" s="59">
        <v>0.36</v>
      </c>
      <c r="D194" s="58">
        <v>1.6879999999999999</v>
      </c>
    </row>
    <row r="195" spans="1:4" x14ac:dyDescent="0.3">
      <c r="A195" s="73">
        <v>43555</v>
      </c>
      <c r="B195" s="59">
        <v>1.9870000000000001</v>
      </c>
      <c r="C195" s="59">
        <v>2.4900000000000002</v>
      </c>
      <c r="D195" s="58">
        <v>0.98</v>
      </c>
    </row>
    <row r="196" spans="1:4" x14ac:dyDescent="0.3">
      <c r="A196" s="73">
        <v>43585</v>
      </c>
      <c r="B196" s="59">
        <v>-0.32400000000000001</v>
      </c>
      <c r="C196" s="59">
        <v>0.55700000000000005</v>
      </c>
      <c r="D196" s="58">
        <v>1.399</v>
      </c>
    </row>
    <row r="197" spans="1:4" x14ac:dyDescent="0.3">
      <c r="A197" s="73">
        <v>43616</v>
      </c>
      <c r="B197" s="59">
        <v>2.4430000000000001</v>
      </c>
      <c r="C197" s="59">
        <v>1.4350000000000001</v>
      </c>
      <c r="D197" s="58">
        <v>-1.2709999999999999</v>
      </c>
    </row>
    <row r="198" spans="1:4" x14ac:dyDescent="0.3">
      <c r="A198" s="73">
        <v>43646</v>
      </c>
      <c r="B198" s="59">
        <v>0.92800000000000005</v>
      </c>
      <c r="C198" s="59">
        <v>2.2999999999999998</v>
      </c>
      <c r="D198" s="58">
        <v>2.452</v>
      </c>
    </row>
    <row r="199" spans="1:4" x14ac:dyDescent="0.3">
      <c r="A199" s="73">
        <v>43677</v>
      </c>
      <c r="B199" s="59">
        <v>-0.105</v>
      </c>
      <c r="C199" s="59">
        <v>0.65500000000000003</v>
      </c>
      <c r="D199" s="58">
        <v>0.51200000000000001</v>
      </c>
    </row>
    <row r="200" spans="1:4" x14ac:dyDescent="0.3">
      <c r="A200" s="73">
        <v>43708</v>
      </c>
      <c r="B200" s="59">
        <v>3.5529999999999999</v>
      </c>
      <c r="C200" s="59">
        <v>3.036</v>
      </c>
      <c r="D200" s="58">
        <v>0.39</v>
      </c>
    </row>
    <row r="201" spans="1:4" x14ac:dyDescent="0.3">
      <c r="A201" s="73">
        <v>43738</v>
      </c>
      <c r="B201" s="59">
        <v>-0.90300000000000002</v>
      </c>
      <c r="C201" s="59">
        <v>-0.61899999999999999</v>
      </c>
      <c r="D201" s="58">
        <v>0.317</v>
      </c>
    </row>
    <row r="202" spans="1:4" x14ac:dyDescent="0.3">
      <c r="A202" s="73">
        <v>43769</v>
      </c>
      <c r="B202" s="59">
        <v>3.1E-2</v>
      </c>
      <c r="C202" s="59">
        <v>0.61199999999999999</v>
      </c>
      <c r="D202" s="58">
        <v>0.23200000000000001</v>
      </c>
    </row>
    <row r="203" spans="1:4" x14ac:dyDescent="0.3">
      <c r="A203" s="73">
        <v>43799</v>
      </c>
      <c r="B203" s="59">
        <v>-0.308</v>
      </c>
      <c r="C203" s="59">
        <v>0.217</v>
      </c>
      <c r="D203" s="58">
        <v>0.27300000000000002</v>
      </c>
    </row>
    <row r="204" spans="1:4" x14ac:dyDescent="0.3">
      <c r="A204" s="73">
        <v>43830</v>
      </c>
      <c r="B204" s="59">
        <v>-0.61599999999999999</v>
      </c>
      <c r="C204" s="59">
        <v>0.315</v>
      </c>
      <c r="D204" s="58">
        <v>2.09</v>
      </c>
    </row>
    <row r="205" spans="1:4" x14ac:dyDescent="0.3">
      <c r="A205" s="73">
        <v>43861</v>
      </c>
      <c r="B205" s="59">
        <v>2.5640000000000001</v>
      </c>
      <c r="C205" s="59">
        <v>2.3759999999999999</v>
      </c>
      <c r="D205" s="58">
        <v>4.0000000000000001E-3</v>
      </c>
    </row>
    <row r="206" spans="1:4" x14ac:dyDescent="0.3">
      <c r="A206" s="73">
        <v>43890</v>
      </c>
      <c r="B206" s="59">
        <v>2.7280000000000002</v>
      </c>
      <c r="C206" s="59">
        <v>1.29</v>
      </c>
      <c r="D206" s="58">
        <v>-1.55</v>
      </c>
    </row>
    <row r="207" spans="1:4" x14ac:dyDescent="0.3">
      <c r="A207" s="73">
        <v>43921</v>
      </c>
      <c r="B207" s="59">
        <v>3.2639999999999998</v>
      </c>
      <c r="C207" s="59">
        <v>-7.4740000000000002</v>
      </c>
      <c r="D207" s="58">
        <v>-11.759</v>
      </c>
    </row>
    <row r="208" spans="1:4" x14ac:dyDescent="0.3">
      <c r="A208" s="73">
        <v>43951</v>
      </c>
      <c r="B208" s="59">
        <v>0.40500000000000003</v>
      </c>
      <c r="C208" s="59">
        <v>5.2720000000000002</v>
      </c>
      <c r="D208" s="58">
        <v>3.8</v>
      </c>
    </row>
    <row r="209" spans="1:4" x14ac:dyDescent="0.3">
      <c r="A209" s="73">
        <v>43982</v>
      </c>
      <c r="B209" s="59">
        <v>-0.308</v>
      </c>
      <c r="C209" s="59">
        <v>1.748</v>
      </c>
      <c r="D209" s="58">
        <v>4.5739999999999998</v>
      </c>
    </row>
    <row r="210" spans="1:4" x14ac:dyDescent="0.3">
      <c r="A210" s="73">
        <v>44012</v>
      </c>
      <c r="B210" s="59">
        <v>0.109</v>
      </c>
      <c r="C210" s="59">
        <v>2.0150000000000001</v>
      </c>
      <c r="D210" s="58">
        <v>0.97499999999999998</v>
      </c>
    </row>
    <row r="211" spans="1:4" x14ac:dyDescent="0.3">
      <c r="A211" s="73">
        <v>44043</v>
      </c>
      <c r="B211" s="59">
        <v>1.212</v>
      </c>
      <c r="C211" s="59">
        <v>3.1509999999999998</v>
      </c>
      <c r="D211" s="58">
        <v>4.7779999999999996</v>
      </c>
    </row>
    <row r="212" spans="1:4" x14ac:dyDescent="0.3">
      <c r="A212" s="73">
        <v>44074</v>
      </c>
      <c r="B212" s="59">
        <v>-1.202</v>
      </c>
      <c r="C212" s="59">
        <v>-1.1539999999999999</v>
      </c>
      <c r="D212" s="58">
        <v>0.98399999999999999</v>
      </c>
    </row>
    <row r="213" spans="1:4" x14ac:dyDescent="0.3">
      <c r="A213" s="73">
        <v>44104</v>
      </c>
      <c r="B213" s="59">
        <v>0.185</v>
      </c>
      <c r="C213" s="59">
        <v>-0.26400000000000001</v>
      </c>
      <c r="D213" s="58">
        <v>-1.0429999999999999</v>
      </c>
    </row>
    <row r="214" spans="1:4" x14ac:dyDescent="0.3">
      <c r="A214" s="73">
        <v>44135</v>
      </c>
      <c r="B214" s="59">
        <v>-1.01</v>
      </c>
      <c r="C214" s="59">
        <v>-0.17199999999999999</v>
      </c>
      <c r="D214" s="58">
        <v>0.46800000000000003</v>
      </c>
    </row>
    <row r="215" spans="1:4" x14ac:dyDescent="0.3">
      <c r="A215" s="73">
        <v>44165</v>
      </c>
      <c r="B215" s="59">
        <v>0.38100000000000001</v>
      </c>
      <c r="C215" s="59">
        <v>2.6659999999999999</v>
      </c>
      <c r="D215" s="58">
        <v>4.0030000000000001</v>
      </c>
    </row>
    <row r="216" spans="1:4" x14ac:dyDescent="0.3">
      <c r="A216" s="73">
        <v>44196</v>
      </c>
      <c r="B216" s="59">
        <v>-0.28299999999999997</v>
      </c>
      <c r="C216" s="59">
        <v>0.49099999999999999</v>
      </c>
      <c r="D216" s="58">
        <v>1.907</v>
      </c>
    </row>
    <row r="217" spans="1:4" x14ac:dyDescent="0.3">
      <c r="A217" s="73">
        <v>44227</v>
      </c>
      <c r="B217" s="59">
        <v>-1.123</v>
      </c>
      <c r="C217" s="59">
        <v>-1.22</v>
      </c>
      <c r="D217" s="58">
        <v>0.38300000000000001</v>
      </c>
    </row>
    <row r="218" spans="1:4" x14ac:dyDescent="0.3">
      <c r="A218" s="73">
        <v>44255</v>
      </c>
      <c r="B218" s="59">
        <v>-2.286</v>
      </c>
      <c r="C218" s="59">
        <v>-1.9550000000000001</v>
      </c>
      <c r="D218" s="58">
        <v>0.34799999999999998</v>
      </c>
    </row>
    <row r="219" spans="1:4" x14ac:dyDescent="0.3">
      <c r="A219" s="73">
        <v>44286</v>
      </c>
      <c r="B219" s="59">
        <v>-1.2649999999999999</v>
      </c>
      <c r="C219" s="59">
        <v>-1.387</v>
      </c>
      <c r="D219" s="58">
        <v>0.17</v>
      </c>
    </row>
    <row r="220" spans="1:4" x14ac:dyDescent="0.3">
      <c r="A220" s="73">
        <v>44316</v>
      </c>
      <c r="B220" s="59">
        <v>0.84</v>
      </c>
      <c r="C220" s="59">
        <v>1.19</v>
      </c>
      <c r="D220" s="58">
        <v>1.097</v>
      </c>
    </row>
    <row r="221" spans="1:4" x14ac:dyDescent="0.3">
      <c r="A221" s="73">
        <v>44347</v>
      </c>
      <c r="B221" s="59">
        <v>0.29799999999999999</v>
      </c>
      <c r="C221" s="59">
        <v>0.70199999999999996</v>
      </c>
      <c r="D221" s="58">
        <v>0.28899999999999998</v>
      </c>
    </row>
    <row r="222" spans="1:4" x14ac:dyDescent="0.3">
      <c r="A222" s="73">
        <v>44377</v>
      </c>
      <c r="B222" s="59">
        <v>0.86899999999999999</v>
      </c>
      <c r="C222" s="59">
        <v>1.665</v>
      </c>
      <c r="D222" s="58">
        <v>1.3660000000000001</v>
      </c>
    </row>
    <row r="223" spans="1:4" x14ac:dyDescent="0.3">
      <c r="A223" s="73">
        <v>44408</v>
      </c>
      <c r="B223" s="59">
        <v>1.34</v>
      </c>
      <c r="C223" s="59">
        <v>1.21</v>
      </c>
      <c r="D223" s="58">
        <v>0.35599999999999998</v>
      </c>
    </row>
    <row r="224" spans="1:4" x14ac:dyDescent="0.3">
      <c r="A224" s="73">
        <v>44439</v>
      </c>
      <c r="B224" s="59">
        <v>-0.156</v>
      </c>
      <c r="C224" s="59">
        <v>-0.19800000000000001</v>
      </c>
      <c r="D224" s="58">
        <v>0.54500000000000004</v>
      </c>
    </row>
    <row r="225" spans="1:4" x14ac:dyDescent="0.3">
      <c r="A225" s="73">
        <v>44469</v>
      </c>
      <c r="B225" s="59">
        <v>-1.2010000000000001</v>
      </c>
      <c r="C225" s="59">
        <v>-1.0569999999999999</v>
      </c>
      <c r="D225" s="58">
        <v>3.4000000000000002E-2</v>
      </c>
    </row>
    <row r="226" spans="1:4" x14ac:dyDescent="0.3">
      <c r="A226" s="73">
        <v>44500</v>
      </c>
      <c r="B226" s="59">
        <v>3.1E-2</v>
      </c>
      <c r="C226" s="59">
        <v>0.25</v>
      </c>
      <c r="D226" s="58">
        <v>-0.17799999999999999</v>
      </c>
    </row>
    <row r="227" spans="1:4" x14ac:dyDescent="0.3">
      <c r="A227" s="73">
        <v>44530</v>
      </c>
      <c r="B227" s="59">
        <v>0.89100000000000001</v>
      </c>
      <c r="C227" s="59">
        <v>9.1999999999999998E-2</v>
      </c>
      <c r="D227" s="58">
        <v>-1.0249999999999999</v>
      </c>
    </row>
    <row r="228" spans="1:4" x14ac:dyDescent="0.3">
      <c r="A228" s="73">
        <v>44561</v>
      </c>
      <c r="B228" s="59">
        <v>-0.56999999999999995</v>
      </c>
      <c r="C228" s="59">
        <v>-0.17100000000000001</v>
      </c>
      <c r="D228" s="58">
        <v>1.881</v>
      </c>
    </row>
    <row r="229" spans="1:4" x14ac:dyDescent="0.3">
      <c r="A229" s="73">
        <v>44592</v>
      </c>
      <c r="B229" s="59">
        <v>-1.8859999999999999</v>
      </c>
      <c r="C229" s="59">
        <v>-3.125</v>
      </c>
      <c r="D229" s="58">
        <v>-2.7490000000000001</v>
      </c>
    </row>
    <row r="230" spans="1:4" x14ac:dyDescent="0.3">
      <c r="A230" s="73">
        <v>44620</v>
      </c>
      <c r="B230" s="59">
        <v>-0.75900000000000001</v>
      </c>
      <c r="C230" s="59">
        <v>-2.181</v>
      </c>
      <c r="D230" s="58">
        <v>-0.89800000000000002</v>
      </c>
    </row>
    <row r="231" spans="1:4" x14ac:dyDescent="0.3">
      <c r="A231" s="73">
        <v>44651</v>
      </c>
      <c r="B231" s="59">
        <v>-3.0049999999999999</v>
      </c>
      <c r="C231" s="59">
        <v>-2.6389999999999998</v>
      </c>
      <c r="D231" s="58">
        <v>-0.92500000000000004</v>
      </c>
    </row>
    <row r="232" spans="1:4" x14ac:dyDescent="0.3">
      <c r="A232" s="73">
        <v>44681</v>
      </c>
      <c r="B232" s="59">
        <v>-3.2080000000000002</v>
      </c>
      <c r="C232" s="59">
        <v>-4.9720000000000004</v>
      </c>
      <c r="D232" s="58">
        <v>-3.6379999999999999</v>
      </c>
    </row>
    <row r="233" spans="1:4" x14ac:dyDescent="0.3">
      <c r="A233" s="73">
        <v>44712</v>
      </c>
      <c r="B233" s="59">
        <v>6.2E-2</v>
      </c>
      <c r="C233" s="59">
        <v>0.53500000000000003</v>
      </c>
      <c r="D233" s="58">
        <v>0.25</v>
      </c>
    </row>
    <row r="234" spans="1:4" x14ac:dyDescent="0.3">
      <c r="A234" s="73">
        <v>44742</v>
      </c>
      <c r="B234" s="59">
        <v>-0.72399999999999998</v>
      </c>
      <c r="C234" s="59">
        <v>-2.35</v>
      </c>
      <c r="D234" s="58">
        <v>-6.8070000000000004</v>
      </c>
    </row>
    <row r="235" spans="1:4" x14ac:dyDescent="0.3">
      <c r="A235" s="73">
        <v>44773</v>
      </c>
      <c r="B235" s="59">
        <v>1.659</v>
      </c>
      <c r="C235" s="59">
        <v>2.9489999999999998</v>
      </c>
      <c r="D235" s="58">
        <v>6.0229999999999997</v>
      </c>
    </row>
    <row r="236" spans="1:4" x14ac:dyDescent="0.3">
      <c r="A236" s="73">
        <v>44804</v>
      </c>
      <c r="B236" s="59">
        <v>-2.617</v>
      </c>
      <c r="C236" s="59">
        <v>-2.661</v>
      </c>
      <c r="D236" s="58">
        <v>-2.395</v>
      </c>
    </row>
    <row r="237" spans="1:4" x14ac:dyDescent="0.3">
      <c r="A237" s="73">
        <v>44834</v>
      </c>
      <c r="B237" s="59">
        <v>-3.7509999999999999</v>
      </c>
      <c r="C237" s="59">
        <v>-5.3079999999999998</v>
      </c>
      <c r="D237" s="58">
        <v>-4.0220000000000002</v>
      </c>
    </row>
    <row r="238" spans="1:4" x14ac:dyDescent="0.3">
      <c r="A238" s="73">
        <v>44865</v>
      </c>
      <c r="B238" s="59">
        <v>-1.522</v>
      </c>
      <c r="C238" s="59">
        <v>-1.115</v>
      </c>
      <c r="D238" s="58">
        <v>2.847</v>
      </c>
    </row>
    <row r="239" spans="1:4" x14ac:dyDescent="0.3">
      <c r="A239" s="73">
        <v>44895</v>
      </c>
      <c r="B239" s="59">
        <v>2.8130000000000002</v>
      </c>
      <c r="C239" s="59">
        <v>4.9180000000000001</v>
      </c>
      <c r="D239" s="58">
        <v>1.8720000000000001</v>
      </c>
    </row>
    <row r="240" spans="1:4" x14ac:dyDescent="0.3">
      <c r="A240" s="73">
        <v>44926</v>
      </c>
      <c r="B240" s="59">
        <v>-0.52400000000000002</v>
      </c>
      <c r="C240" s="59">
        <v>-0.21199999999999999</v>
      </c>
      <c r="D240" s="58">
        <v>-0.753</v>
      </c>
    </row>
    <row r="241" spans="1:4" x14ac:dyDescent="0.3">
      <c r="A241" s="73">
        <v>44957</v>
      </c>
      <c r="B241" s="59">
        <v>2.5939999999999999</v>
      </c>
      <c r="C241" s="59">
        <v>3.8889999999999998</v>
      </c>
      <c r="D241" s="58">
        <v>3.91</v>
      </c>
    </row>
    <row r="242" spans="1:4" x14ac:dyDescent="0.3">
      <c r="A242" s="73">
        <v>44985</v>
      </c>
      <c r="B242" s="59">
        <v>-2.4089999999999998</v>
      </c>
      <c r="C242" s="59">
        <v>-2.9129999999999998</v>
      </c>
      <c r="D242" s="58">
        <v>-1.294</v>
      </c>
    </row>
    <row r="243" spans="1:4" x14ac:dyDescent="0.3">
      <c r="A243" s="73">
        <v>45016</v>
      </c>
      <c r="B243" s="59">
        <v>2.9580000000000002</v>
      </c>
      <c r="C243" s="59">
        <v>2.5630000000000002</v>
      </c>
      <c r="D243" s="58">
        <v>1.1259999999999999</v>
      </c>
    </row>
    <row r="244" spans="1:4" x14ac:dyDescent="0.3">
      <c r="A244" s="73">
        <v>45046</v>
      </c>
      <c r="B244" s="59">
        <v>0.54700000000000004</v>
      </c>
      <c r="C244" s="59">
        <v>0.84799999999999998</v>
      </c>
      <c r="D244" s="58">
        <v>0.96499999999999997</v>
      </c>
    </row>
    <row r="245" spans="1:4" x14ac:dyDescent="0.3">
      <c r="A245" s="73">
        <v>45077</v>
      </c>
      <c r="B245" s="59">
        <v>-1.228</v>
      </c>
      <c r="C245" s="59">
        <v>-1.3280000000000001</v>
      </c>
      <c r="D245" s="58">
        <v>-0.94899999999999995</v>
      </c>
    </row>
    <row r="246" spans="1:4" x14ac:dyDescent="0.3">
      <c r="A246" s="73">
        <v>45107</v>
      </c>
      <c r="B246" s="59">
        <v>-0.72499999999999998</v>
      </c>
      <c r="C246" s="59">
        <v>0.28399999999999997</v>
      </c>
      <c r="D246" s="58">
        <v>1.6279999999999999</v>
      </c>
    </row>
    <row r="247" spans="1:4" x14ac:dyDescent="0.3">
      <c r="A247" s="73">
        <v>45138</v>
      </c>
      <c r="B247" s="59">
        <v>-0.39600000000000002</v>
      </c>
      <c r="C247" s="59">
        <v>0.433</v>
      </c>
      <c r="D247" s="58">
        <v>1.4239999999999999</v>
      </c>
    </row>
    <row r="248" spans="1:4" x14ac:dyDescent="0.3">
      <c r="A248" s="73">
        <v>45169</v>
      </c>
      <c r="B248" s="59">
        <v>-0.58199999999999996</v>
      </c>
      <c r="C248" s="59">
        <v>-0.68300000000000005</v>
      </c>
      <c r="D248" s="58">
        <v>0.28499999999999998</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8D77-40BB-4118-9D03-5387FA5D504B}">
  <sheetPr codeName="Sheet19"/>
  <dimension ref="A1:Z249"/>
  <sheetViews>
    <sheetView topLeftCell="A5" zoomScale="70" zoomScaleNormal="70" workbookViewId="0">
      <selection activeCell="C36" sqref="C36"/>
    </sheetView>
  </sheetViews>
  <sheetFormatPr defaultColWidth="9.109375" defaultRowHeight="14.4" x14ac:dyDescent="0.3"/>
  <cols>
    <col min="1" max="1" width="12.109375" style="28" customWidth="1"/>
    <col min="2" max="3" width="11.5546875" style="28" customWidth="1"/>
    <col min="4" max="4" width="12.109375" style="28" customWidth="1"/>
    <col min="5" max="6" width="11.88671875" style="28" customWidth="1"/>
    <col min="7" max="7" width="10.33203125" style="28" customWidth="1"/>
    <col min="8" max="8" width="3" style="28" customWidth="1"/>
    <col min="9" max="9" width="9.109375" style="28"/>
    <col min="10" max="10" width="13.109375" style="28" bestFit="1" customWidth="1"/>
    <col min="11" max="13" width="9.109375" style="28"/>
    <col min="14" max="14" width="8.88671875" style="28" customWidth="1"/>
    <col min="15" max="16384" width="9.109375" style="28"/>
  </cols>
  <sheetData>
    <row r="1" spans="1:26" s="36" customFormat="1" ht="25.8" x14ac:dyDescent="0.5">
      <c r="A1" s="36" t="s">
        <v>51</v>
      </c>
    </row>
    <row r="2" spans="1:26" s="1" customFormat="1" x14ac:dyDescent="0.3"/>
    <row r="3" spans="1:26" s="1" customFormat="1" x14ac:dyDescent="0.3">
      <c r="A3" s="27" t="s">
        <v>33</v>
      </c>
      <c r="B3" s="27"/>
      <c r="C3" s="27"/>
      <c r="D3" s="30"/>
      <c r="E3" s="30"/>
      <c r="F3" s="30"/>
      <c r="O3" s="55">
        <v>0</v>
      </c>
      <c r="P3" s="1">
        <v>0</v>
      </c>
    </row>
    <row r="4" spans="1:26" s="1" customFormat="1" x14ac:dyDescent="0.3">
      <c r="A4" s="25" t="s">
        <v>19</v>
      </c>
      <c r="B4" s="25" t="s">
        <v>21</v>
      </c>
      <c r="C4" s="25"/>
      <c r="D4" s="30"/>
      <c r="E4" s="30"/>
      <c r="F4" s="30"/>
    </row>
    <row r="5" spans="1:26" x14ac:dyDescent="0.3">
      <c r="A5" s="26" t="s">
        <v>20</v>
      </c>
      <c r="B5" s="26" t="s">
        <v>22</v>
      </c>
      <c r="C5" s="25"/>
      <c r="D5" s="30"/>
      <c r="E5" s="30"/>
      <c r="F5" s="30"/>
      <c r="G5" s="34"/>
    </row>
    <row r="6" spans="1:26" x14ac:dyDescent="0.3">
      <c r="A6" s="29"/>
      <c r="B6" s="29"/>
      <c r="D6" s="30"/>
      <c r="E6" s="30"/>
      <c r="F6" s="30"/>
      <c r="X6" s="30"/>
      <c r="Y6" s="30"/>
      <c r="Z6" s="45"/>
    </row>
    <row r="7" spans="1:26" x14ac:dyDescent="0.3">
      <c r="A7" s="47"/>
      <c r="B7" s="81" t="s">
        <v>32</v>
      </c>
      <c r="C7" s="81"/>
      <c r="D7" s="82" t="s">
        <v>40</v>
      </c>
      <c r="E7" s="82"/>
      <c r="F7" s="82"/>
      <c r="G7" s="82"/>
      <c r="J7" s="32"/>
      <c r="K7" s="33" t="s">
        <v>24</v>
      </c>
      <c r="X7" s="30"/>
      <c r="Y7" s="30"/>
      <c r="Z7" s="45"/>
    </row>
    <row r="8" spans="1:26" x14ac:dyDescent="0.3">
      <c r="A8" s="77"/>
      <c r="B8" s="78" t="s">
        <v>19</v>
      </c>
      <c r="C8" s="78" t="s">
        <v>20</v>
      </c>
      <c r="D8" s="33" t="s">
        <v>41</v>
      </c>
      <c r="E8" s="33" t="s">
        <v>42</v>
      </c>
      <c r="F8" s="33" t="s">
        <v>46</v>
      </c>
      <c r="G8" s="33" t="s">
        <v>28</v>
      </c>
      <c r="J8" s="32" t="s">
        <v>25</v>
      </c>
      <c r="K8" s="62">
        <v>5</v>
      </c>
    </row>
    <row r="9" spans="1:26" x14ac:dyDescent="0.3">
      <c r="A9" s="79">
        <v>37864</v>
      </c>
      <c r="B9" s="80">
        <v>932.69100000000003</v>
      </c>
      <c r="C9" s="80">
        <v>549.69799999999998</v>
      </c>
      <c r="D9" s="48" t="s">
        <v>31</v>
      </c>
      <c r="E9" s="48" t="s">
        <v>31</v>
      </c>
      <c r="F9" s="48" t="s">
        <v>31</v>
      </c>
      <c r="G9" s="48" t="s">
        <v>31</v>
      </c>
      <c r="J9" s="32" t="s">
        <v>26</v>
      </c>
      <c r="K9" s="31">
        <f>COUNT(D10:D249)*K8/100</f>
        <v>0</v>
      </c>
      <c r="L9" s="65"/>
      <c r="X9" s="30"/>
      <c r="Y9" s="30"/>
      <c r="Z9" s="45"/>
    </row>
    <row r="10" spans="1:26" x14ac:dyDescent="0.3">
      <c r="A10" s="79">
        <v>37894</v>
      </c>
      <c r="B10" s="80">
        <v>960.471</v>
      </c>
      <c r="C10" s="80">
        <v>554.60500000000002</v>
      </c>
      <c r="D10" s="46"/>
      <c r="E10" s="46"/>
      <c r="F10" s="46"/>
      <c r="G10" s="46"/>
      <c r="J10" s="32" t="s">
        <v>47</v>
      </c>
      <c r="K10" s="46"/>
      <c r="L10" s="65" t="s">
        <v>48</v>
      </c>
    </row>
    <row r="11" spans="1:26" x14ac:dyDescent="0.3">
      <c r="A11" s="79">
        <v>37925</v>
      </c>
      <c r="B11" s="80">
        <v>946.18700000000001</v>
      </c>
      <c r="C11" s="80">
        <v>541.62400000000002</v>
      </c>
      <c r="D11" s="46"/>
      <c r="E11" s="46"/>
      <c r="F11" s="46"/>
      <c r="G11" s="46"/>
      <c r="J11" s="32" t="s">
        <v>23</v>
      </c>
      <c r="K11" s="49"/>
      <c r="L11" s="65"/>
    </row>
    <row r="12" spans="1:26" x14ac:dyDescent="0.3">
      <c r="A12" s="79">
        <v>37955</v>
      </c>
      <c r="B12" s="80">
        <v>947.45500000000004</v>
      </c>
      <c r="C12" s="80">
        <v>543.12699999999995</v>
      </c>
      <c r="D12" s="46"/>
      <c r="E12" s="46"/>
      <c r="F12" s="46"/>
      <c r="G12" s="46"/>
      <c r="J12" s="32" t="s">
        <v>27</v>
      </c>
      <c r="K12" s="49"/>
    </row>
    <row r="13" spans="1:26" x14ac:dyDescent="0.3">
      <c r="A13" s="79">
        <v>37986</v>
      </c>
      <c r="B13" s="80">
        <v>955.77599999999995</v>
      </c>
      <c r="C13" s="80">
        <v>555.27300000000002</v>
      </c>
      <c r="D13" s="46"/>
      <c r="E13" s="46"/>
      <c r="F13" s="46"/>
      <c r="G13" s="46"/>
      <c r="J13" s="32" t="s">
        <v>3</v>
      </c>
      <c r="K13" s="46"/>
      <c r="L13" s="65" t="s">
        <v>45</v>
      </c>
    </row>
    <row r="14" spans="1:26" x14ac:dyDescent="0.3">
      <c r="A14" s="79">
        <v>38017</v>
      </c>
      <c r="B14" s="80">
        <v>963.74699999999996</v>
      </c>
      <c r="C14" s="80">
        <v>554.39099999999996</v>
      </c>
      <c r="D14" s="46"/>
      <c r="E14" s="46"/>
      <c r="F14" s="46"/>
      <c r="G14" s="46"/>
      <c r="J14" s="32" t="s">
        <v>4</v>
      </c>
      <c r="K14" s="46"/>
      <c r="L14" s="65" t="s">
        <v>45</v>
      </c>
    </row>
    <row r="15" spans="1:26" x14ac:dyDescent="0.3">
      <c r="A15" s="79">
        <v>38046</v>
      </c>
      <c r="B15" s="80">
        <v>975.42600000000004</v>
      </c>
      <c r="C15" s="80">
        <v>560.10699999999997</v>
      </c>
      <c r="D15" s="46"/>
      <c r="E15" s="46"/>
      <c r="F15" s="46"/>
      <c r="G15" s="46"/>
    </row>
    <row r="16" spans="1:26" x14ac:dyDescent="0.3">
      <c r="A16" s="79">
        <v>38077</v>
      </c>
      <c r="B16" s="80">
        <v>984.56</v>
      </c>
      <c r="C16" s="80">
        <v>563.58100000000002</v>
      </c>
      <c r="D16" s="46"/>
      <c r="E16" s="46"/>
      <c r="F16" s="46"/>
      <c r="G16" s="46"/>
      <c r="I16" s="66" t="s">
        <v>49</v>
      </c>
      <c r="J16" s="67"/>
      <c r="K16" s="67"/>
      <c r="L16" s="67"/>
      <c r="M16" s="68"/>
    </row>
    <row r="17" spans="1:13" x14ac:dyDescent="0.3">
      <c r="A17" s="79">
        <v>38107</v>
      </c>
      <c r="B17" s="80">
        <v>953.54300000000001</v>
      </c>
      <c r="C17" s="80">
        <v>556.82399999999996</v>
      </c>
      <c r="D17" s="46"/>
      <c r="E17" s="46"/>
      <c r="F17" s="46"/>
      <c r="G17" s="46"/>
      <c r="I17" s="32"/>
      <c r="J17" s="32"/>
      <c r="K17" s="35" t="s">
        <v>29</v>
      </c>
      <c r="L17" s="35" t="s">
        <v>3</v>
      </c>
      <c r="M17" s="35" t="s">
        <v>4</v>
      </c>
    </row>
    <row r="18" spans="1:13" x14ac:dyDescent="0.3">
      <c r="A18" s="79">
        <v>38138</v>
      </c>
      <c r="B18" s="80">
        <v>950.38099999999997</v>
      </c>
      <c r="C18" s="80">
        <v>553.12199999999996</v>
      </c>
      <c r="D18" s="46"/>
      <c r="E18" s="46"/>
      <c r="F18" s="46"/>
      <c r="G18" s="46"/>
      <c r="H18" s="63"/>
      <c r="I18" s="31">
        <f>I19*-1</f>
        <v>0</v>
      </c>
      <c r="J18" s="31">
        <f>I18</f>
        <v>0</v>
      </c>
      <c r="K18" s="49">
        <f>$I18-K12</f>
        <v>0</v>
      </c>
      <c r="L18" s="49">
        <f>$I18-K13</f>
        <v>0</v>
      </c>
      <c r="M18" s="49">
        <f>$I18-K14</f>
        <v>0</v>
      </c>
    </row>
    <row r="19" spans="1:13" x14ac:dyDescent="0.3">
      <c r="A19" s="79">
        <v>38168</v>
      </c>
      <c r="B19" s="80">
        <v>954.21100000000001</v>
      </c>
      <c r="C19" s="80">
        <v>557.96299999999997</v>
      </c>
      <c r="D19" s="46"/>
      <c r="E19" s="46"/>
      <c r="F19" s="46"/>
      <c r="G19" s="46"/>
      <c r="I19" s="64">
        <f>ROUNDUP(MAX(D9:G249),0)</f>
        <v>0</v>
      </c>
      <c r="J19" s="64">
        <f>I19</f>
        <v>0</v>
      </c>
      <c r="K19" s="49">
        <f>$I19-K12</f>
        <v>0</v>
      </c>
      <c r="L19" s="49">
        <f>$I19-K13</f>
        <v>0</v>
      </c>
      <c r="M19" s="49">
        <f>$I19-K14</f>
        <v>0</v>
      </c>
    </row>
    <row r="20" spans="1:13" x14ac:dyDescent="0.3">
      <c r="A20" s="79">
        <v>38199</v>
      </c>
      <c r="B20" s="80">
        <v>963.08500000000004</v>
      </c>
      <c r="C20" s="80">
        <v>560.61699999999996</v>
      </c>
      <c r="D20" s="46"/>
      <c r="E20" s="46"/>
      <c r="F20" s="46"/>
      <c r="G20" s="46"/>
    </row>
    <row r="21" spans="1:13" x14ac:dyDescent="0.3">
      <c r="A21" s="79">
        <v>38230</v>
      </c>
      <c r="B21" s="80">
        <v>982.79600000000005</v>
      </c>
      <c r="C21" s="80">
        <v>569.74599999999998</v>
      </c>
      <c r="D21" s="46"/>
      <c r="E21" s="46"/>
      <c r="F21" s="46"/>
      <c r="G21" s="46"/>
    </row>
    <row r="22" spans="1:13" x14ac:dyDescent="0.3">
      <c r="A22" s="79">
        <v>38260</v>
      </c>
      <c r="B22" s="80">
        <v>985.17499999999995</v>
      </c>
      <c r="C22" s="80">
        <v>574.82600000000002</v>
      </c>
      <c r="D22" s="46"/>
      <c r="E22" s="46"/>
      <c r="F22" s="46"/>
      <c r="G22" s="46"/>
    </row>
    <row r="23" spans="1:13" x14ac:dyDescent="0.3">
      <c r="A23" s="79">
        <v>38291</v>
      </c>
      <c r="B23" s="80">
        <v>992.79499999999996</v>
      </c>
      <c r="C23" s="80">
        <v>580.54200000000003</v>
      </c>
      <c r="D23" s="46"/>
      <c r="E23" s="46"/>
      <c r="F23" s="46"/>
      <c r="G23" s="46"/>
    </row>
    <row r="24" spans="1:13" x14ac:dyDescent="0.3">
      <c r="A24" s="79">
        <v>38321</v>
      </c>
      <c r="B24" s="80">
        <v>979.63599999999997</v>
      </c>
      <c r="C24" s="80">
        <v>588.077</v>
      </c>
      <c r="D24" s="46"/>
      <c r="E24" s="46"/>
      <c r="F24" s="46"/>
      <c r="G24" s="46"/>
    </row>
    <row r="25" spans="1:13" x14ac:dyDescent="0.3">
      <c r="A25" s="79">
        <v>38352</v>
      </c>
      <c r="B25" s="80">
        <v>989.21100000000001</v>
      </c>
      <c r="C25" s="80">
        <v>592.048</v>
      </c>
      <c r="D25" s="46"/>
      <c r="E25" s="46"/>
      <c r="F25" s="46"/>
      <c r="G25" s="46"/>
    </row>
    <row r="26" spans="1:13" x14ac:dyDescent="0.3">
      <c r="A26" s="79">
        <v>38383</v>
      </c>
      <c r="B26" s="80">
        <v>996.36699999999996</v>
      </c>
      <c r="C26" s="80">
        <v>591.10400000000004</v>
      </c>
      <c r="D26" s="46"/>
      <c r="E26" s="46"/>
      <c r="F26" s="46"/>
      <c r="G26" s="46"/>
    </row>
    <row r="27" spans="1:13" x14ac:dyDescent="0.3">
      <c r="A27" s="79">
        <v>38411</v>
      </c>
      <c r="B27" s="80">
        <v>988.53</v>
      </c>
      <c r="C27" s="80">
        <v>589.30600000000004</v>
      </c>
      <c r="D27" s="46"/>
      <c r="E27" s="46"/>
      <c r="F27" s="46"/>
      <c r="G27" s="46"/>
    </row>
    <row r="28" spans="1:13" x14ac:dyDescent="0.3">
      <c r="A28" s="79">
        <v>38442</v>
      </c>
      <c r="B28" s="80">
        <v>985.28499999999997</v>
      </c>
      <c r="C28" s="80">
        <v>591.57500000000005</v>
      </c>
      <c r="D28" s="46"/>
      <c r="E28" s="46"/>
      <c r="F28" s="46"/>
      <c r="G28" s="46"/>
    </row>
    <row r="29" spans="1:13" x14ac:dyDescent="0.3">
      <c r="A29" s="79">
        <v>38472</v>
      </c>
      <c r="B29" s="80">
        <v>1002.289</v>
      </c>
      <c r="C29" s="80">
        <v>600.56399999999996</v>
      </c>
      <c r="D29" s="46"/>
      <c r="E29" s="46"/>
      <c r="F29" s="46"/>
      <c r="G29" s="46"/>
    </row>
    <row r="30" spans="1:13" x14ac:dyDescent="0.3">
      <c r="A30" s="79">
        <v>38503</v>
      </c>
      <c r="B30" s="80">
        <v>1014.482</v>
      </c>
      <c r="C30" s="80">
        <v>610.66700000000003</v>
      </c>
      <c r="D30" s="46"/>
      <c r="E30" s="46"/>
      <c r="F30" s="46"/>
      <c r="G30" s="46"/>
    </row>
    <row r="31" spans="1:13" x14ac:dyDescent="0.3">
      <c r="A31" s="79">
        <v>38533</v>
      </c>
      <c r="B31" s="80">
        <v>1020.684</v>
      </c>
      <c r="C31" s="80">
        <v>620.19000000000005</v>
      </c>
      <c r="D31" s="46"/>
      <c r="E31" s="46"/>
      <c r="F31" s="46"/>
      <c r="G31" s="46"/>
    </row>
    <row r="32" spans="1:13" x14ac:dyDescent="0.3">
      <c r="A32" s="79">
        <v>38564</v>
      </c>
      <c r="B32" s="80">
        <v>1007.14</v>
      </c>
      <c r="C32" s="80">
        <v>615.39599999999996</v>
      </c>
      <c r="D32" s="46"/>
      <c r="E32" s="46"/>
      <c r="F32" s="46"/>
      <c r="G32" s="46"/>
    </row>
    <row r="33" spans="1:7" x14ac:dyDescent="0.3">
      <c r="A33" s="79">
        <v>38595</v>
      </c>
      <c r="B33" s="80">
        <v>1023.112</v>
      </c>
      <c r="C33" s="80">
        <v>624.00099999999998</v>
      </c>
      <c r="D33" s="46"/>
      <c r="E33" s="46"/>
      <c r="F33" s="46"/>
      <c r="G33" s="46"/>
    </row>
    <row r="34" spans="1:7" x14ac:dyDescent="0.3">
      <c r="A34" s="79">
        <v>38625</v>
      </c>
      <c r="B34" s="80">
        <v>1009.655</v>
      </c>
      <c r="C34" s="80">
        <v>622.23800000000006</v>
      </c>
      <c r="D34" s="46"/>
      <c r="E34" s="46"/>
      <c r="F34" s="46"/>
      <c r="G34" s="46"/>
    </row>
    <row r="35" spans="1:7" x14ac:dyDescent="0.3">
      <c r="A35" s="79">
        <v>38656</v>
      </c>
      <c r="B35" s="80">
        <v>1001.972</v>
      </c>
      <c r="C35" s="80">
        <v>622.74400000000003</v>
      </c>
      <c r="D35" s="46"/>
      <c r="E35" s="46"/>
      <c r="F35" s="46"/>
      <c r="G35" s="46"/>
    </row>
    <row r="36" spans="1:7" x14ac:dyDescent="0.3">
      <c r="A36" s="79">
        <v>38686</v>
      </c>
      <c r="B36" s="80">
        <v>1006.749</v>
      </c>
      <c r="C36" s="80">
        <v>630.16499999999996</v>
      </c>
      <c r="D36" s="46"/>
      <c r="E36" s="46"/>
      <c r="F36" s="46"/>
      <c r="G36" s="46"/>
    </row>
    <row r="37" spans="1:7" x14ac:dyDescent="0.3">
      <c r="A37" s="79">
        <v>38717</v>
      </c>
      <c r="B37" s="80">
        <v>1016.984</v>
      </c>
      <c r="C37" s="80">
        <v>638.87599999999998</v>
      </c>
      <c r="D37" s="46"/>
      <c r="E37" s="46"/>
      <c r="F37" s="46"/>
      <c r="G37" s="46"/>
    </row>
    <row r="38" spans="1:7" x14ac:dyDescent="0.3">
      <c r="A38" s="79">
        <v>38748</v>
      </c>
      <c r="B38" s="80">
        <v>1014.164</v>
      </c>
      <c r="C38" s="80">
        <v>644.03599999999994</v>
      </c>
      <c r="D38" s="46"/>
      <c r="E38" s="46"/>
      <c r="F38" s="46"/>
      <c r="G38" s="46"/>
    </row>
    <row r="39" spans="1:7" x14ac:dyDescent="0.3">
      <c r="A39" s="79">
        <v>38776</v>
      </c>
      <c r="B39" s="80">
        <v>1015.777</v>
      </c>
      <c r="C39" s="80">
        <v>644.71799999999996</v>
      </c>
      <c r="D39" s="46"/>
      <c r="E39" s="46"/>
      <c r="F39" s="46"/>
      <c r="G39" s="46"/>
    </row>
    <row r="40" spans="1:7" x14ac:dyDescent="0.3">
      <c r="A40" s="79">
        <v>38807</v>
      </c>
      <c r="B40" s="80">
        <v>1005.254</v>
      </c>
      <c r="C40" s="80">
        <v>635.07500000000005</v>
      </c>
      <c r="D40" s="46"/>
      <c r="E40" s="46"/>
      <c r="F40" s="46"/>
      <c r="G40" s="46"/>
    </row>
    <row r="41" spans="1:7" x14ac:dyDescent="0.3">
      <c r="A41" s="79">
        <v>38837</v>
      </c>
      <c r="B41" s="80">
        <v>1001.107</v>
      </c>
      <c r="C41" s="80">
        <v>625.48199999999997</v>
      </c>
      <c r="D41" s="46"/>
      <c r="E41" s="46"/>
      <c r="F41" s="46"/>
      <c r="G41" s="46"/>
    </row>
    <row r="42" spans="1:7" x14ac:dyDescent="0.3">
      <c r="A42" s="79">
        <v>38868</v>
      </c>
      <c r="B42" s="80">
        <v>1001.641</v>
      </c>
      <c r="C42" s="80">
        <v>630.08100000000002</v>
      </c>
      <c r="D42" s="46"/>
      <c r="E42" s="46"/>
      <c r="F42" s="46"/>
      <c r="G42" s="46"/>
    </row>
    <row r="43" spans="1:7" x14ac:dyDescent="0.3">
      <c r="A43" s="79">
        <v>38898</v>
      </c>
      <c r="B43" s="80">
        <v>1004.8</v>
      </c>
      <c r="C43" s="80">
        <v>626.66099999999994</v>
      </c>
      <c r="D43" s="46"/>
      <c r="E43" s="46"/>
      <c r="F43" s="46"/>
      <c r="G43" s="46"/>
    </row>
    <row r="44" spans="1:7" x14ac:dyDescent="0.3">
      <c r="A44" s="79">
        <v>38929</v>
      </c>
      <c r="B44" s="80">
        <v>1017.011</v>
      </c>
      <c r="C44" s="80">
        <v>635.16200000000003</v>
      </c>
      <c r="D44" s="46"/>
      <c r="E44" s="46"/>
      <c r="F44" s="46"/>
      <c r="G44" s="46"/>
    </row>
    <row r="45" spans="1:7" x14ac:dyDescent="0.3">
      <c r="A45" s="79">
        <v>38960</v>
      </c>
      <c r="B45" s="80">
        <v>1031.9069999999999</v>
      </c>
      <c r="C45" s="80">
        <v>642.03700000000003</v>
      </c>
      <c r="D45" s="46"/>
      <c r="E45" s="46"/>
      <c r="F45" s="46"/>
      <c r="G45" s="46"/>
    </row>
    <row r="46" spans="1:7" x14ac:dyDescent="0.3">
      <c r="A46" s="79">
        <v>38990</v>
      </c>
      <c r="B46" s="80">
        <v>1041.3689999999999</v>
      </c>
      <c r="C46" s="80">
        <v>644.827</v>
      </c>
      <c r="D46" s="46"/>
      <c r="E46" s="46"/>
      <c r="F46" s="46"/>
      <c r="G46" s="46"/>
    </row>
    <row r="47" spans="1:7" x14ac:dyDescent="0.3">
      <c r="A47" s="79">
        <v>39021</v>
      </c>
      <c r="B47" s="80">
        <v>1046.6990000000001</v>
      </c>
      <c r="C47" s="80">
        <v>650.26099999999997</v>
      </c>
      <c r="D47" s="46"/>
      <c r="E47" s="46"/>
      <c r="F47" s="46"/>
      <c r="G47" s="46"/>
    </row>
    <row r="48" spans="1:7" x14ac:dyDescent="0.3">
      <c r="A48" s="79">
        <v>39051</v>
      </c>
      <c r="B48" s="80">
        <v>1057.5730000000001</v>
      </c>
      <c r="C48" s="80">
        <v>650.88499999999999</v>
      </c>
      <c r="D48" s="46"/>
      <c r="E48" s="46"/>
      <c r="F48" s="46"/>
      <c r="G48" s="46"/>
    </row>
    <row r="49" spans="1:7" x14ac:dyDescent="0.3">
      <c r="A49" s="79">
        <v>39082</v>
      </c>
      <c r="B49" s="80">
        <v>1048.8910000000001</v>
      </c>
      <c r="C49" s="80">
        <v>642.58500000000004</v>
      </c>
      <c r="D49" s="46"/>
      <c r="E49" s="46"/>
      <c r="F49" s="46"/>
      <c r="G49" s="46"/>
    </row>
    <row r="50" spans="1:7" x14ac:dyDescent="0.3">
      <c r="A50" s="79">
        <v>39113</v>
      </c>
      <c r="B50" s="80">
        <v>1047.29</v>
      </c>
      <c r="C50" s="80">
        <v>633.09699999999998</v>
      </c>
      <c r="D50" s="46"/>
      <c r="E50" s="46"/>
      <c r="F50" s="46"/>
      <c r="G50" s="46"/>
    </row>
    <row r="51" spans="1:7" x14ac:dyDescent="0.3">
      <c r="A51" s="79">
        <v>39141</v>
      </c>
      <c r="B51" s="80">
        <v>1064.5640000000001</v>
      </c>
      <c r="C51" s="80">
        <v>644.39</v>
      </c>
      <c r="D51" s="46"/>
      <c r="E51" s="46"/>
      <c r="F51" s="46"/>
      <c r="G51" s="46"/>
    </row>
    <row r="52" spans="1:7" x14ac:dyDescent="0.3">
      <c r="A52" s="79">
        <v>39172</v>
      </c>
      <c r="B52" s="80">
        <v>1063.9659999999999</v>
      </c>
      <c r="C52" s="80">
        <v>637.26</v>
      </c>
      <c r="D52" s="46"/>
      <c r="E52" s="46"/>
      <c r="F52" s="46"/>
      <c r="G52" s="46"/>
    </row>
    <row r="53" spans="1:7" x14ac:dyDescent="0.3">
      <c r="A53" s="79">
        <v>39202</v>
      </c>
      <c r="B53" s="80">
        <v>1069.5550000000001</v>
      </c>
      <c r="C53" s="80">
        <v>634.95500000000004</v>
      </c>
      <c r="D53" s="46"/>
      <c r="E53" s="46"/>
      <c r="F53" s="46"/>
      <c r="G53" s="46"/>
    </row>
    <row r="54" spans="1:7" x14ac:dyDescent="0.3">
      <c r="A54" s="79">
        <v>39233</v>
      </c>
      <c r="B54" s="80">
        <v>1060.2550000000001</v>
      </c>
      <c r="C54" s="80">
        <v>628.48800000000006</v>
      </c>
      <c r="D54" s="46"/>
      <c r="E54" s="46"/>
      <c r="F54" s="46"/>
      <c r="G54" s="46"/>
    </row>
    <row r="55" spans="1:7" x14ac:dyDescent="0.3">
      <c r="A55" s="79">
        <v>39263</v>
      </c>
      <c r="B55" s="80">
        <v>1059.7</v>
      </c>
      <c r="C55" s="80">
        <v>620.149</v>
      </c>
      <c r="D55" s="46"/>
      <c r="E55" s="46"/>
      <c r="F55" s="46"/>
      <c r="G55" s="46"/>
    </row>
    <row r="56" spans="1:7" x14ac:dyDescent="0.3">
      <c r="A56" s="79">
        <v>39294</v>
      </c>
      <c r="B56" s="80">
        <v>1077.2929999999999</v>
      </c>
      <c r="C56" s="80">
        <v>636.64499999999998</v>
      </c>
      <c r="D56" s="46"/>
      <c r="E56" s="46"/>
      <c r="F56" s="46"/>
      <c r="G56" s="46"/>
    </row>
    <row r="57" spans="1:7" x14ac:dyDescent="0.3">
      <c r="A57" s="79">
        <v>39325</v>
      </c>
      <c r="B57" s="80">
        <v>1094.2729999999999</v>
      </c>
      <c r="C57" s="80">
        <v>646.60599999999999</v>
      </c>
      <c r="D57" s="46"/>
      <c r="E57" s="46"/>
      <c r="F57" s="46"/>
      <c r="G57" s="46"/>
    </row>
    <row r="58" spans="1:7" x14ac:dyDescent="0.3">
      <c r="A58" s="79">
        <v>39355</v>
      </c>
      <c r="B58" s="80">
        <v>1100.1420000000001</v>
      </c>
      <c r="C58" s="80">
        <v>646.51700000000005</v>
      </c>
      <c r="D58" s="46"/>
      <c r="E58" s="46"/>
      <c r="F58" s="46"/>
      <c r="G58" s="46"/>
    </row>
    <row r="59" spans="1:7" x14ac:dyDescent="0.3">
      <c r="A59" s="79">
        <v>39386</v>
      </c>
      <c r="B59" s="80">
        <v>1108.7829999999999</v>
      </c>
      <c r="C59" s="80">
        <v>652.40200000000004</v>
      </c>
      <c r="D59" s="46"/>
      <c r="E59" s="46"/>
      <c r="F59" s="46"/>
      <c r="G59" s="46"/>
    </row>
    <row r="60" spans="1:7" x14ac:dyDescent="0.3">
      <c r="A60" s="79">
        <v>39416</v>
      </c>
      <c r="B60" s="80">
        <v>1142.482</v>
      </c>
      <c r="C60" s="80">
        <v>664.21</v>
      </c>
      <c r="D60" s="46"/>
      <c r="E60" s="46"/>
      <c r="F60" s="46"/>
      <c r="G60" s="46"/>
    </row>
    <row r="61" spans="1:7" x14ac:dyDescent="0.3">
      <c r="A61" s="79">
        <v>39447</v>
      </c>
      <c r="B61" s="80">
        <v>1143.8689999999999</v>
      </c>
      <c r="C61" s="80">
        <v>676.01599999999996</v>
      </c>
      <c r="D61" s="46"/>
      <c r="E61" s="46"/>
      <c r="F61" s="46"/>
      <c r="G61" s="46"/>
    </row>
    <row r="62" spans="1:7" x14ac:dyDescent="0.3">
      <c r="A62" s="79">
        <v>39478</v>
      </c>
      <c r="B62" s="80">
        <v>1172.7260000000001</v>
      </c>
      <c r="C62" s="80">
        <v>678.32500000000005</v>
      </c>
      <c r="D62" s="46"/>
      <c r="E62" s="46"/>
      <c r="F62" s="46"/>
      <c r="G62" s="46"/>
    </row>
    <row r="63" spans="1:7" x14ac:dyDescent="0.3">
      <c r="A63" s="79">
        <v>39507</v>
      </c>
      <c r="B63" s="80">
        <v>1185.4780000000001</v>
      </c>
      <c r="C63" s="80">
        <v>680.452</v>
      </c>
      <c r="D63" s="46"/>
      <c r="E63" s="46"/>
      <c r="F63" s="46"/>
      <c r="G63" s="46"/>
    </row>
    <row r="64" spans="1:7" x14ac:dyDescent="0.3">
      <c r="A64" s="79">
        <v>39538</v>
      </c>
      <c r="B64" s="80">
        <v>1194.075</v>
      </c>
      <c r="C64" s="80">
        <v>685.779</v>
      </c>
      <c r="D64" s="46"/>
      <c r="E64" s="46"/>
      <c r="F64" s="46"/>
      <c r="G64" s="46"/>
    </row>
    <row r="65" spans="1:7" x14ac:dyDescent="0.3">
      <c r="A65" s="79">
        <v>39568</v>
      </c>
      <c r="B65" s="80">
        <v>1173.835</v>
      </c>
      <c r="C65" s="80">
        <v>674.76700000000005</v>
      </c>
      <c r="D65" s="46"/>
      <c r="E65" s="46"/>
      <c r="F65" s="46"/>
      <c r="G65" s="46"/>
    </row>
    <row r="66" spans="1:7" x14ac:dyDescent="0.3">
      <c r="A66" s="79">
        <v>39599</v>
      </c>
      <c r="B66" s="80">
        <v>1159.691</v>
      </c>
      <c r="C66" s="80">
        <v>663.43799999999999</v>
      </c>
      <c r="D66" s="46"/>
      <c r="E66" s="46"/>
      <c r="F66" s="46"/>
      <c r="G66" s="46"/>
    </row>
    <row r="67" spans="1:7" x14ac:dyDescent="0.3">
      <c r="A67" s="79">
        <v>39629</v>
      </c>
      <c r="B67" s="80">
        <v>1169.3679999999999</v>
      </c>
      <c r="C67" s="80">
        <v>658.98400000000004</v>
      </c>
      <c r="D67" s="46"/>
      <c r="E67" s="46"/>
      <c r="F67" s="46"/>
      <c r="G67" s="46"/>
    </row>
    <row r="68" spans="1:7" x14ac:dyDescent="0.3">
      <c r="A68" s="79">
        <v>39660</v>
      </c>
      <c r="B68" s="80">
        <v>1174.0329999999999</v>
      </c>
      <c r="C68" s="80">
        <v>676.63</v>
      </c>
      <c r="D68" s="46"/>
      <c r="E68" s="46"/>
      <c r="F68" s="46"/>
      <c r="G68" s="46"/>
    </row>
    <row r="69" spans="1:7" x14ac:dyDescent="0.3">
      <c r="A69" s="79">
        <v>39691</v>
      </c>
      <c r="B69" s="80">
        <v>1188.829</v>
      </c>
      <c r="C69" s="80">
        <v>690.65899999999999</v>
      </c>
      <c r="D69" s="46"/>
      <c r="E69" s="46"/>
      <c r="F69" s="46"/>
      <c r="G69" s="46"/>
    </row>
    <row r="70" spans="1:7" x14ac:dyDescent="0.3">
      <c r="A70" s="79">
        <v>39721</v>
      </c>
      <c r="B70" s="80">
        <v>1196.6130000000001</v>
      </c>
      <c r="C70" s="80">
        <v>691.14</v>
      </c>
      <c r="D70" s="46"/>
      <c r="E70" s="46"/>
      <c r="F70" s="46"/>
      <c r="G70" s="46"/>
    </row>
    <row r="71" spans="1:7" x14ac:dyDescent="0.3">
      <c r="A71" s="79">
        <v>39752</v>
      </c>
      <c r="B71" s="80">
        <v>1194.8699999999999</v>
      </c>
      <c r="C71" s="80">
        <v>692.75699999999995</v>
      </c>
      <c r="D71" s="46"/>
      <c r="E71" s="46"/>
      <c r="F71" s="46"/>
      <c r="G71" s="46"/>
    </row>
    <row r="72" spans="1:7" x14ac:dyDescent="0.3">
      <c r="A72" s="79">
        <v>39782</v>
      </c>
      <c r="B72" s="80">
        <v>1259.124</v>
      </c>
      <c r="C72" s="80">
        <v>724.90700000000004</v>
      </c>
      <c r="D72" s="46"/>
      <c r="E72" s="46"/>
      <c r="F72" s="46"/>
      <c r="G72" s="46"/>
    </row>
    <row r="73" spans="1:7" x14ac:dyDescent="0.3">
      <c r="A73" s="79">
        <v>39813</v>
      </c>
      <c r="B73" s="80">
        <v>1303.7529999999999</v>
      </c>
      <c r="C73" s="80">
        <v>764.221</v>
      </c>
      <c r="D73" s="46"/>
      <c r="E73" s="46"/>
      <c r="F73" s="46"/>
      <c r="G73" s="46"/>
    </row>
    <row r="74" spans="1:7" x14ac:dyDescent="0.3">
      <c r="A74" s="79">
        <v>39844</v>
      </c>
      <c r="B74" s="80">
        <v>1263.5820000000001</v>
      </c>
      <c r="C74" s="80">
        <v>727.58799999999997</v>
      </c>
      <c r="D74" s="46"/>
      <c r="E74" s="46"/>
      <c r="F74" s="46"/>
      <c r="G74" s="46"/>
    </row>
    <row r="75" spans="1:7" x14ac:dyDescent="0.3">
      <c r="A75" s="79">
        <v>39872</v>
      </c>
      <c r="B75" s="80">
        <v>1256.712</v>
      </c>
      <c r="C75" s="80">
        <v>738.72799999999995</v>
      </c>
      <c r="D75" s="46"/>
      <c r="E75" s="46"/>
      <c r="F75" s="46"/>
      <c r="G75" s="46"/>
    </row>
    <row r="76" spans="1:7" x14ac:dyDescent="0.3">
      <c r="A76" s="79">
        <v>39903</v>
      </c>
      <c r="B76" s="80">
        <v>1285.127</v>
      </c>
      <c r="C76" s="80">
        <v>758.29399999999998</v>
      </c>
      <c r="D76" s="46"/>
      <c r="E76" s="46"/>
      <c r="F76" s="46"/>
      <c r="G76" s="46"/>
    </row>
    <row r="77" spans="1:7" x14ac:dyDescent="0.3">
      <c r="A77" s="79">
        <v>39933</v>
      </c>
      <c r="B77" s="80">
        <v>1260.7280000000001</v>
      </c>
      <c r="C77" s="80">
        <v>747.80700000000002</v>
      </c>
      <c r="D77" s="46"/>
      <c r="E77" s="46"/>
      <c r="F77" s="46"/>
      <c r="G77" s="46"/>
    </row>
    <row r="78" spans="1:7" x14ac:dyDescent="0.3">
      <c r="A78" s="79">
        <v>39964</v>
      </c>
      <c r="B78" s="80">
        <v>1248.008</v>
      </c>
      <c r="C78" s="80">
        <v>741.05799999999999</v>
      </c>
      <c r="D78" s="46"/>
      <c r="E78" s="46"/>
      <c r="F78" s="46"/>
      <c r="G78" s="46"/>
    </row>
    <row r="79" spans="1:7" x14ac:dyDescent="0.3">
      <c r="A79" s="79">
        <v>39994</v>
      </c>
      <c r="B79" s="80">
        <v>1245.548</v>
      </c>
      <c r="C79" s="80">
        <v>747.13199999999995</v>
      </c>
      <c r="D79" s="46"/>
      <c r="E79" s="46"/>
      <c r="F79" s="46"/>
      <c r="G79" s="46"/>
    </row>
    <row r="80" spans="1:7" x14ac:dyDescent="0.3">
      <c r="A80" s="79">
        <v>40025</v>
      </c>
      <c r="B80" s="80">
        <v>1250.5550000000001</v>
      </c>
      <c r="C80" s="80">
        <v>741.24300000000005</v>
      </c>
      <c r="D80" s="46"/>
      <c r="E80" s="46"/>
      <c r="F80" s="46"/>
      <c r="G80" s="46"/>
    </row>
    <row r="81" spans="1:7" x14ac:dyDescent="0.3">
      <c r="A81" s="79">
        <v>40056</v>
      </c>
      <c r="B81" s="80">
        <v>1262.1780000000001</v>
      </c>
      <c r="C81" s="80">
        <v>770.23099999999999</v>
      </c>
      <c r="D81" s="46"/>
      <c r="E81" s="46"/>
      <c r="F81" s="46"/>
      <c r="G81" s="46"/>
    </row>
    <row r="82" spans="1:7" x14ac:dyDescent="0.3">
      <c r="A82" s="79">
        <v>40086</v>
      </c>
      <c r="B82" s="80">
        <v>1272.0999999999999</v>
      </c>
      <c r="C82" s="80">
        <v>771.68499999999995</v>
      </c>
      <c r="D82" s="46"/>
      <c r="E82" s="46"/>
      <c r="F82" s="46"/>
      <c r="G82" s="46"/>
    </row>
    <row r="83" spans="1:7" x14ac:dyDescent="0.3">
      <c r="A83" s="79">
        <v>40117</v>
      </c>
      <c r="B83" s="80">
        <v>1271.3689999999999</v>
      </c>
      <c r="C83" s="80">
        <v>769.673</v>
      </c>
      <c r="D83" s="46"/>
      <c r="E83" s="46"/>
      <c r="F83" s="46"/>
      <c r="G83" s="46"/>
    </row>
    <row r="84" spans="1:7" x14ac:dyDescent="0.3">
      <c r="A84" s="79">
        <v>40147</v>
      </c>
      <c r="B84" s="80">
        <v>1289.318</v>
      </c>
      <c r="C84" s="80">
        <v>776.61</v>
      </c>
      <c r="D84" s="46"/>
      <c r="E84" s="46"/>
      <c r="F84" s="46"/>
      <c r="G84" s="46"/>
    </row>
    <row r="85" spans="1:7" x14ac:dyDescent="0.3">
      <c r="A85" s="79">
        <v>40178</v>
      </c>
      <c r="B85" s="80">
        <v>1255.296</v>
      </c>
      <c r="C85" s="80">
        <v>754.596</v>
      </c>
      <c r="D85" s="46"/>
      <c r="E85" s="46"/>
      <c r="F85" s="46"/>
      <c r="G85" s="46"/>
    </row>
    <row r="86" spans="1:7" x14ac:dyDescent="0.3">
      <c r="A86" s="79">
        <v>40209</v>
      </c>
      <c r="B86" s="80">
        <v>1275.1110000000001</v>
      </c>
      <c r="C86" s="80">
        <v>760.62199999999996</v>
      </c>
      <c r="D86" s="46"/>
      <c r="E86" s="46"/>
      <c r="F86" s="46"/>
      <c r="G86" s="46"/>
    </row>
    <row r="87" spans="1:7" x14ac:dyDescent="0.3">
      <c r="A87" s="79">
        <v>40237</v>
      </c>
      <c r="B87" s="80">
        <v>1280.1420000000001</v>
      </c>
      <c r="C87" s="80">
        <v>757.62699999999995</v>
      </c>
      <c r="D87" s="46"/>
      <c r="E87" s="46"/>
      <c r="F87" s="46"/>
      <c r="G87" s="46"/>
    </row>
    <row r="88" spans="1:7" x14ac:dyDescent="0.3">
      <c r="A88" s="79">
        <v>40268</v>
      </c>
      <c r="B88" s="80">
        <v>1269.2460000000001</v>
      </c>
      <c r="C88" s="80">
        <v>764.21500000000003</v>
      </c>
      <c r="D88" s="46"/>
      <c r="E88" s="46"/>
      <c r="F88" s="46"/>
      <c r="G88" s="46"/>
    </row>
    <row r="89" spans="1:7" x14ac:dyDescent="0.3">
      <c r="A89" s="79">
        <v>40298</v>
      </c>
      <c r="B89" s="80">
        <v>1282.6489999999999</v>
      </c>
      <c r="C89" s="80">
        <v>769.06600000000003</v>
      </c>
      <c r="D89" s="46"/>
      <c r="E89" s="46"/>
      <c r="F89" s="46"/>
      <c r="G89" s="46"/>
    </row>
    <row r="90" spans="1:7" x14ac:dyDescent="0.3">
      <c r="A90" s="79">
        <v>40329</v>
      </c>
      <c r="B90" s="80">
        <v>1304.7270000000001</v>
      </c>
      <c r="C90" s="80">
        <v>787.73199999999997</v>
      </c>
      <c r="D90" s="46"/>
      <c r="E90" s="46"/>
      <c r="F90" s="46"/>
      <c r="G90" s="46"/>
    </row>
    <row r="91" spans="1:7" x14ac:dyDescent="0.3">
      <c r="A91" s="79">
        <v>40359</v>
      </c>
      <c r="B91" s="80">
        <v>1329.124</v>
      </c>
      <c r="C91" s="80">
        <v>800.28700000000003</v>
      </c>
      <c r="D91" s="46"/>
      <c r="E91" s="46"/>
      <c r="F91" s="46"/>
      <c r="G91" s="46"/>
    </row>
    <row r="92" spans="1:7" x14ac:dyDescent="0.3">
      <c r="A92" s="79">
        <v>40390</v>
      </c>
      <c r="B92" s="80">
        <v>1338.107</v>
      </c>
      <c r="C92" s="80">
        <v>798.03800000000001</v>
      </c>
      <c r="D92" s="46"/>
      <c r="E92" s="46"/>
      <c r="F92" s="46"/>
      <c r="G92" s="46"/>
    </row>
    <row r="93" spans="1:7" x14ac:dyDescent="0.3">
      <c r="A93" s="79">
        <v>40421</v>
      </c>
      <c r="B93" s="80">
        <v>1365.5039999999999</v>
      </c>
      <c r="C93" s="80">
        <v>835.54300000000001</v>
      </c>
      <c r="D93" s="46"/>
      <c r="E93" s="46"/>
      <c r="F93" s="46"/>
      <c r="G93" s="46"/>
    </row>
    <row r="94" spans="1:7" x14ac:dyDescent="0.3">
      <c r="A94" s="79">
        <v>40451</v>
      </c>
      <c r="B94" s="80">
        <v>1365.54</v>
      </c>
      <c r="C94" s="80">
        <v>830.68600000000004</v>
      </c>
      <c r="D94" s="46"/>
      <c r="E94" s="46"/>
      <c r="F94" s="46"/>
      <c r="G94" s="46"/>
    </row>
    <row r="95" spans="1:7" x14ac:dyDescent="0.3">
      <c r="A95" s="79">
        <v>40482</v>
      </c>
      <c r="B95" s="80">
        <v>1363.1030000000001</v>
      </c>
      <c r="C95" s="80">
        <v>818.82100000000003</v>
      </c>
      <c r="D95" s="46"/>
      <c r="E95" s="46"/>
      <c r="F95" s="46"/>
      <c r="G95" s="46"/>
    </row>
    <row r="96" spans="1:7" x14ac:dyDescent="0.3">
      <c r="A96" s="79">
        <v>40512</v>
      </c>
      <c r="B96" s="80">
        <v>1353.8140000000001</v>
      </c>
      <c r="C96" s="80">
        <v>813.54</v>
      </c>
      <c r="D96" s="46"/>
      <c r="E96" s="46"/>
      <c r="F96" s="46"/>
      <c r="G96" s="46"/>
    </row>
    <row r="97" spans="1:7" x14ac:dyDescent="0.3">
      <c r="A97" s="79">
        <v>40543</v>
      </c>
      <c r="B97" s="80">
        <v>1329.1110000000001</v>
      </c>
      <c r="C97" s="80">
        <v>811.93600000000004</v>
      </c>
      <c r="D97" s="46"/>
      <c r="E97" s="46"/>
      <c r="F97" s="46"/>
      <c r="G97" s="46"/>
    </row>
    <row r="98" spans="1:7" x14ac:dyDescent="0.3">
      <c r="A98" s="79">
        <v>40574</v>
      </c>
      <c r="B98" s="80">
        <v>1329.1980000000001</v>
      </c>
      <c r="C98" s="80">
        <v>796.33399999999995</v>
      </c>
      <c r="D98" s="46"/>
      <c r="E98" s="46"/>
      <c r="F98" s="46"/>
      <c r="G98" s="46"/>
    </row>
    <row r="99" spans="1:7" x14ac:dyDescent="0.3">
      <c r="A99" s="79">
        <v>40602</v>
      </c>
      <c r="B99" s="80">
        <v>1328.0650000000001</v>
      </c>
      <c r="C99" s="80">
        <v>802.52599999999995</v>
      </c>
      <c r="D99" s="46"/>
      <c r="E99" s="46"/>
      <c r="F99" s="46"/>
      <c r="G99" s="46"/>
    </row>
    <row r="100" spans="1:7" x14ac:dyDescent="0.3">
      <c r="A100" s="79">
        <v>40633</v>
      </c>
      <c r="B100" s="80">
        <v>1327.31</v>
      </c>
      <c r="C100" s="80">
        <v>805.57299999999998</v>
      </c>
      <c r="D100" s="46"/>
      <c r="E100" s="46"/>
      <c r="F100" s="46"/>
      <c r="G100" s="46"/>
    </row>
    <row r="101" spans="1:7" x14ac:dyDescent="0.3">
      <c r="A101" s="79">
        <v>40663</v>
      </c>
      <c r="B101" s="80">
        <v>1342.6220000000001</v>
      </c>
      <c r="C101" s="80">
        <v>821.16800000000001</v>
      </c>
      <c r="D101" s="46"/>
      <c r="E101" s="46"/>
      <c r="F101" s="46"/>
      <c r="G101" s="46"/>
    </row>
    <row r="102" spans="1:7" x14ac:dyDescent="0.3">
      <c r="A102" s="79">
        <v>40694</v>
      </c>
      <c r="B102" s="80">
        <v>1363.836</v>
      </c>
      <c r="C102" s="80">
        <v>831.80499999999995</v>
      </c>
      <c r="D102" s="46"/>
      <c r="E102" s="46"/>
      <c r="F102" s="46"/>
      <c r="G102" s="46"/>
    </row>
    <row r="103" spans="1:7" x14ac:dyDescent="0.3">
      <c r="A103" s="79">
        <v>40724</v>
      </c>
      <c r="B103" s="80">
        <v>1359.6489999999999</v>
      </c>
      <c r="C103" s="80">
        <v>826.37800000000004</v>
      </c>
      <c r="D103" s="46"/>
      <c r="E103" s="46"/>
      <c r="F103" s="46"/>
      <c r="G103" s="46"/>
    </row>
    <row r="104" spans="1:7" x14ac:dyDescent="0.3">
      <c r="A104" s="79">
        <v>40755</v>
      </c>
      <c r="B104" s="80">
        <v>1384.473</v>
      </c>
      <c r="C104" s="80">
        <v>855.66200000000003</v>
      </c>
      <c r="D104" s="46"/>
      <c r="E104" s="46"/>
      <c r="F104" s="46"/>
      <c r="G104" s="46"/>
    </row>
    <row r="105" spans="1:7" x14ac:dyDescent="0.3">
      <c r="A105" s="79">
        <v>40786</v>
      </c>
      <c r="B105" s="80">
        <v>1423.2639999999999</v>
      </c>
      <c r="C105" s="80">
        <v>874.28899999999999</v>
      </c>
      <c r="D105" s="46"/>
      <c r="E105" s="46"/>
      <c r="F105" s="46"/>
      <c r="G105" s="46"/>
    </row>
    <row r="106" spans="1:7" x14ac:dyDescent="0.3">
      <c r="A106" s="79">
        <v>40816</v>
      </c>
      <c r="B106" s="80">
        <v>1446.07</v>
      </c>
      <c r="C106" s="80">
        <v>899.80799999999999</v>
      </c>
      <c r="D106" s="46"/>
      <c r="E106" s="46"/>
      <c r="F106" s="46"/>
      <c r="G106" s="46"/>
    </row>
    <row r="107" spans="1:7" x14ac:dyDescent="0.3">
      <c r="A107" s="79">
        <v>40847</v>
      </c>
      <c r="B107" s="80">
        <v>1435.087</v>
      </c>
      <c r="C107" s="80">
        <v>910.20100000000002</v>
      </c>
      <c r="D107" s="46"/>
      <c r="E107" s="46"/>
      <c r="F107" s="46"/>
      <c r="G107" s="46"/>
    </row>
    <row r="108" spans="1:7" x14ac:dyDescent="0.3">
      <c r="A108" s="79">
        <v>40877</v>
      </c>
      <c r="B108" s="80">
        <v>1445.568</v>
      </c>
      <c r="C108" s="80">
        <v>933.38599999999997</v>
      </c>
      <c r="D108" s="46"/>
      <c r="E108" s="46"/>
      <c r="F108" s="46"/>
      <c r="G108" s="46"/>
    </row>
    <row r="109" spans="1:7" x14ac:dyDescent="0.3">
      <c r="A109" s="79">
        <v>40908</v>
      </c>
      <c r="B109" s="80">
        <v>1459.2380000000001</v>
      </c>
      <c r="C109" s="80">
        <v>949.27700000000004</v>
      </c>
      <c r="D109" s="46"/>
      <c r="E109" s="46"/>
      <c r="F109" s="46"/>
      <c r="G109" s="46"/>
    </row>
    <row r="110" spans="1:7" x14ac:dyDescent="0.3">
      <c r="A110" s="79">
        <v>40939</v>
      </c>
      <c r="B110" s="80">
        <v>1465.818</v>
      </c>
      <c r="C110" s="80">
        <v>951.41300000000001</v>
      </c>
      <c r="D110" s="46"/>
      <c r="E110" s="46"/>
      <c r="F110" s="46"/>
      <c r="G110" s="46"/>
    </row>
    <row r="111" spans="1:7" x14ac:dyDescent="0.3">
      <c r="A111" s="79">
        <v>40968</v>
      </c>
      <c r="B111" s="80">
        <v>1455.422</v>
      </c>
      <c r="C111" s="80">
        <v>938.87800000000004</v>
      </c>
      <c r="D111" s="46"/>
      <c r="E111" s="46"/>
      <c r="F111" s="46"/>
      <c r="G111" s="46"/>
    </row>
    <row r="112" spans="1:7" x14ac:dyDescent="0.3">
      <c r="A112" s="79">
        <v>40999</v>
      </c>
      <c r="B112" s="80">
        <v>1440.3979999999999</v>
      </c>
      <c r="C112" s="80">
        <v>931.05200000000002</v>
      </c>
      <c r="D112" s="46"/>
      <c r="E112" s="46"/>
      <c r="F112" s="46"/>
      <c r="G112" s="46"/>
    </row>
    <row r="113" spans="1:7" x14ac:dyDescent="0.3">
      <c r="A113" s="79">
        <v>41029</v>
      </c>
      <c r="B113" s="80">
        <v>1462.37</v>
      </c>
      <c r="C113" s="80">
        <v>936.12</v>
      </c>
      <c r="D113" s="46"/>
      <c r="E113" s="46"/>
      <c r="F113" s="46"/>
      <c r="G113" s="46"/>
    </row>
    <row r="114" spans="1:7" x14ac:dyDescent="0.3">
      <c r="A114" s="79">
        <v>41060</v>
      </c>
      <c r="B114" s="80">
        <v>1489.1690000000001</v>
      </c>
      <c r="C114" s="80">
        <v>976.89400000000001</v>
      </c>
      <c r="D114" s="46"/>
      <c r="E114" s="46"/>
      <c r="F114" s="46"/>
      <c r="G114" s="46"/>
    </row>
    <row r="115" spans="1:7" x14ac:dyDescent="0.3">
      <c r="A115" s="79">
        <v>41090</v>
      </c>
      <c r="B115" s="80">
        <v>1483.549</v>
      </c>
      <c r="C115" s="80">
        <v>967.56799999999998</v>
      </c>
      <c r="D115" s="46"/>
      <c r="E115" s="46"/>
      <c r="F115" s="46"/>
      <c r="G115" s="46"/>
    </row>
    <row r="116" spans="1:7" x14ac:dyDescent="0.3">
      <c r="A116" s="79">
        <v>41121</v>
      </c>
      <c r="B116" s="80">
        <v>1499.3779999999999</v>
      </c>
      <c r="C116" s="80">
        <v>988.12099999999998</v>
      </c>
      <c r="D116" s="46"/>
      <c r="E116" s="46"/>
      <c r="F116" s="46"/>
      <c r="G116" s="46"/>
    </row>
    <row r="117" spans="1:7" x14ac:dyDescent="0.3">
      <c r="A117" s="79">
        <v>41152</v>
      </c>
      <c r="B117" s="80">
        <v>1497.357</v>
      </c>
      <c r="C117" s="80">
        <v>986.28099999999995</v>
      </c>
      <c r="D117" s="46"/>
      <c r="E117" s="46"/>
      <c r="F117" s="46"/>
      <c r="G117" s="46"/>
    </row>
    <row r="118" spans="1:7" x14ac:dyDescent="0.3">
      <c r="A118" s="79">
        <v>41182</v>
      </c>
      <c r="B118" s="80">
        <v>1492.2059999999999</v>
      </c>
      <c r="C118" s="80">
        <v>979.11699999999996</v>
      </c>
      <c r="D118" s="46"/>
      <c r="E118" s="46"/>
      <c r="F118" s="46"/>
      <c r="G118" s="46"/>
    </row>
    <row r="119" spans="1:7" x14ac:dyDescent="0.3">
      <c r="A119" s="79">
        <v>41213</v>
      </c>
      <c r="B119" s="80">
        <v>1489.6220000000001</v>
      </c>
      <c r="C119" s="80">
        <v>972.18</v>
      </c>
      <c r="D119" s="46"/>
      <c r="E119" s="46"/>
      <c r="F119" s="46"/>
      <c r="G119" s="46"/>
    </row>
    <row r="120" spans="1:7" x14ac:dyDescent="0.3">
      <c r="A120" s="79">
        <v>41243</v>
      </c>
      <c r="B120" s="80">
        <v>1498.192</v>
      </c>
      <c r="C120" s="80">
        <v>980.447</v>
      </c>
      <c r="D120" s="46"/>
      <c r="E120" s="46"/>
      <c r="F120" s="46"/>
      <c r="G120" s="46"/>
    </row>
    <row r="121" spans="1:7" x14ac:dyDescent="0.3">
      <c r="A121" s="79">
        <v>41274</v>
      </c>
      <c r="B121" s="80">
        <v>1490.788</v>
      </c>
      <c r="C121" s="80">
        <v>975.88699999999994</v>
      </c>
      <c r="D121" s="46"/>
      <c r="E121" s="46"/>
      <c r="F121" s="46"/>
      <c r="G121" s="46"/>
    </row>
    <row r="122" spans="1:7" x14ac:dyDescent="0.3">
      <c r="A122" s="79">
        <v>41305</v>
      </c>
      <c r="B122" s="80">
        <v>1476.623</v>
      </c>
      <c r="C122" s="80">
        <v>955.86699999999996</v>
      </c>
      <c r="D122" s="46"/>
      <c r="E122" s="46"/>
      <c r="F122" s="46"/>
      <c r="G122" s="46"/>
    </row>
    <row r="123" spans="1:7" x14ac:dyDescent="0.3">
      <c r="A123" s="79">
        <v>41333</v>
      </c>
      <c r="B123" s="80">
        <v>1485.3910000000001</v>
      </c>
      <c r="C123" s="80">
        <v>964.26199999999994</v>
      </c>
      <c r="D123" s="46"/>
      <c r="E123" s="46"/>
      <c r="F123" s="46"/>
      <c r="G123" s="46"/>
    </row>
    <row r="124" spans="1:7" x14ac:dyDescent="0.3">
      <c r="A124" s="79">
        <v>41364</v>
      </c>
      <c r="B124" s="80">
        <v>1486.9860000000001</v>
      </c>
      <c r="C124" s="80">
        <v>981.43100000000004</v>
      </c>
      <c r="D124" s="46"/>
      <c r="E124" s="46"/>
      <c r="F124" s="46"/>
      <c r="G124" s="46"/>
    </row>
    <row r="125" spans="1:7" x14ac:dyDescent="0.3">
      <c r="A125" s="79">
        <v>41394</v>
      </c>
      <c r="B125" s="80">
        <v>1502.646</v>
      </c>
      <c r="C125" s="80">
        <v>992.81600000000003</v>
      </c>
      <c r="D125" s="46"/>
      <c r="E125" s="46"/>
      <c r="F125" s="46"/>
      <c r="G125" s="46"/>
    </row>
    <row r="126" spans="1:7" x14ac:dyDescent="0.3">
      <c r="A126" s="79">
        <v>41425</v>
      </c>
      <c r="B126" s="80">
        <v>1472.37</v>
      </c>
      <c r="C126" s="80">
        <v>966.69</v>
      </c>
      <c r="D126" s="46"/>
      <c r="E126" s="46"/>
      <c r="F126" s="46"/>
      <c r="G126" s="46"/>
    </row>
    <row r="127" spans="1:7" x14ac:dyDescent="0.3">
      <c r="A127" s="79">
        <v>41455</v>
      </c>
      <c r="B127" s="80">
        <v>1453.8910000000001</v>
      </c>
      <c r="C127" s="80">
        <v>943.51499999999999</v>
      </c>
      <c r="D127" s="46"/>
      <c r="E127" s="46"/>
      <c r="F127" s="46"/>
      <c r="G127" s="46"/>
    </row>
    <row r="128" spans="1:7" x14ac:dyDescent="0.3">
      <c r="A128" s="79">
        <v>41486</v>
      </c>
      <c r="B128" s="80">
        <v>1451.0630000000001</v>
      </c>
      <c r="C128" s="80">
        <v>951.18499999999995</v>
      </c>
      <c r="D128" s="46"/>
      <c r="E128" s="46"/>
      <c r="F128" s="46"/>
      <c r="G128" s="46"/>
    </row>
    <row r="129" spans="1:7" x14ac:dyDescent="0.3">
      <c r="A129" s="79">
        <v>41517</v>
      </c>
      <c r="B129" s="80">
        <v>1443.242</v>
      </c>
      <c r="C129" s="80">
        <v>940.70299999999997</v>
      </c>
      <c r="D129" s="46"/>
      <c r="E129" s="46"/>
      <c r="F129" s="46"/>
      <c r="G129" s="46"/>
    </row>
    <row r="130" spans="1:7" x14ac:dyDescent="0.3">
      <c r="A130" s="79">
        <v>41547</v>
      </c>
      <c r="B130" s="80">
        <v>1454.2639999999999</v>
      </c>
      <c r="C130" s="80">
        <v>948.29300000000001</v>
      </c>
      <c r="D130" s="46"/>
      <c r="E130" s="46"/>
      <c r="F130" s="46"/>
      <c r="G130" s="46"/>
    </row>
    <row r="131" spans="1:7" x14ac:dyDescent="0.3">
      <c r="A131" s="79">
        <v>41578</v>
      </c>
      <c r="B131" s="80">
        <v>1462.2339999999999</v>
      </c>
      <c r="C131" s="80">
        <v>954.89800000000002</v>
      </c>
      <c r="D131" s="46"/>
      <c r="E131" s="46"/>
      <c r="F131" s="46"/>
      <c r="G131" s="46"/>
    </row>
    <row r="132" spans="1:7" x14ac:dyDescent="0.3">
      <c r="A132" s="79">
        <v>41608</v>
      </c>
      <c r="B132" s="80">
        <v>1455.9860000000001</v>
      </c>
      <c r="C132" s="80">
        <v>945.726</v>
      </c>
      <c r="D132" s="46"/>
      <c r="E132" s="46"/>
      <c r="F132" s="46"/>
      <c r="G132" s="46"/>
    </row>
    <row r="133" spans="1:7" x14ac:dyDescent="0.3">
      <c r="A133" s="79">
        <v>41639</v>
      </c>
      <c r="B133" s="80">
        <v>1440.854</v>
      </c>
      <c r="C133" s="80">
        <v>934.39700000000005</v>
      </c>
      <c r="D133" s="46"/>
      <c r="E133" s="46"/>
      <c r="F133" s="46"/>
      <c r="G133" s="46"/>
    </row>
    <row r="134" spans="1:7" x14ac:dyDescent="0.3">
      <c r="A134" s="79">
        <v>41670</v>
      </c>
      <c r="B134" s="80">
        <v>1463.8630000000001</v>
      </c>
      <c r="C134" s="80">
        <v>954.01199999999994</v>
      </c>
      <c r="D134" s="46"/>
      <c r="E134" s="46"/>
      <c r="F134" s="46"/>
      <c r="G134" s="46"/>
    </row>
    <row r="135" spans="1:7" x14ac:dyDescent="0.3">
      <c r="A135" s="79">
        <v>41698</v>
      </c>
      <c r="B135" s="80">
        <v>1468.431</v>
      </c>
      <c r="C135" s="80">
        <v>955.42899999999997</v>
      </c>
      <c r="D135" s="46"/>
      <c r="E135" s="46"/>
      <c r="F135" s="46"/>
      <c r="G135" s="46"/>
    </row>
    <row r="136" spans="1:7" x14ac:dyDescent="0.3">
      <c r="A136" s="79">
        <v>41729</v>
      </c>
      <c r="B136" s="80">
        <v>1464.2929999999999</v>
      </c>
      <c r="C136" s="80">
        <v>955.81100000000004</v>
      </c>
      <c r="D136" s="46"/>
      <c r="E136" s="46"/>
      <c r="F136" s="46"/>
      <c r="G136" s="46"/>
    </row>
    <row r="137" spans="1:7" x14ac:dyDescent="0.3">
      <c r="A137" s="79">
        <v>41759</v>
      </c>
      <c r="B137" s="80">
        <v>1473.4349999999999</v>
      </c>
      <c r="C137" s="80">
        <v>962.84199999999998</v>
      </c>
      <c r="D137" s="46"/>
      <c r="E137" s="46"/>
      <c r="F137" s="46"/>
      <c r="G137" s="46"/>
    </row>
    <row r="138" spans="1:7" x14ac:dyDescent="0.3">
      <c r="A138" s="79">
        <v>41790</v>
      </c>
      <c r="B138" s="80">
        <v>1489.508</v>
      </c>
      <c r="C138" s="80">
        <v>972.07899999999995</v>
      </c>
      <c r="D138" s="46"/>
      <c r="E138" s="46"/>
      <c r="F138" s="46"/>
      <c r="G138" s="46"/>
    </row>
    <row r="139" spans="1:7" x14ac:dyDescent="0.3">
      <c r="A139" s="79">
        <v>41820</v>
      </c>
      <c r="B139" s="80">
        <v>1487.183</v>
      </c>
      <c r="C139" s="80">
        <v>966.678</v>
      </c>
      <c r="D139" s="46"/>
      <c r="E139" s="46"/>
      <c r="F139" s="46"/>
      <c r="G139" s="46"/>
    </row>
    <row r="140" spans="1:7" x14ac:dyDescent="0.3">
      <c r="A140" s="79">
        <v>41851</v>
      </c>
      <c r="B140" s="80">
        <v>1484.9580000000001</v>
      </c>
      <c r="C140" s="80">
        <v>977.00900000000001</v>
      </c>
      <c r="D140" s="46"/>
      <c r="E140" s="46"/>
      <c r="F140" s="46"/>
      <c r="G140" s="46"/>
    </row>
    <row r="141" spans="1:7" x14ac:dyDescent="0.3">
      <c r="A141" s="79">
        <v>41882</v>
      </c>
      <c r="B141" s="80">
        <v>1503.038</v>
      </c>
      <c r="C141" s="80">
        <v>1011.419</v>
      </c>
      <c r="D141" s="46"/>
      <c r="E141" s="46"/>
      <c r="F141" s="46"/>
      <c r="G141" s="46"/>
    </row>
    <row r="142" spans="1:7" x14ac:dyDescent="0.3">
      <c r="A142" s="79">
        <v>41912</v>
      </c>
      <c r="B142" s="80">
        <v>1493.5239999999999</v>
      </c>
      <c r="C142" s="80">
        <v>1004.67</v>
      </c>
      <c r="D142" s="46"/>
      <c r="E142" s="46"/>
      <c r="F142" s="46"/>
      <c r="G142" s="46"/>
    </row>
    <row r="143" spans="1:7" x14ac:dyDescent="0.3">
      <c r="A143" s="79">
        <v>41943</v>
      </c>
      <c r="B143" s="80">
        <v>1509.7380000000001</v>
      </c>
      <c r="C143" s="80">
        <v>1018.623</v>
      </c>
      <c r="D143" s="46"/>
      <c r="E143" s="46"/>
      <c r="F143" s="46"/>
      <c r="G143" s="46"/>
    </row>
    <row r="144" spans="1:7" x14ac:dyDescent="0.3">
      <c r="A144" s="79">
        <v>41973</v>
      </c>
      <c r="B144" s="80">
        <v>1523.6559999999999</v>
      </c>
      <c r="C144" s="80">
        <v>1051.922</v>
      </c>
      <c r="D144" s="46"/>
      <c r="E144" s="46"/>
      <c r="F144" s="46"/>
      <c r="G144" s="46"/>
    </row>
    <row r="145" spans="1:7" x14ac:dyDescent="0.3">
      <c r="A145" s="79">
        <v>42004</v>
      </c>
      <c r="B145" s="80">
        <v>1527.596</v>
      </c>
      <c r="C145" s="80">
        <v>1071.559</v>
      </c>
      <c r="D145" s="46"/>
      <c r="E145" s="46"/>
      <c r="F145" s="46"/>
      <c r="G145" s="46"/>
    </row>
    <row r="146" spans="1:7" x14ac:dyDescent="0.3">
      <c r="A146" s="79">
        <v>42035</v>
      </c>
      <c r="B146" s="80">
        <v>1571.633</v>
      </c>
      <c r="C146" s="80">
        <v>1123.4449999999999</v>
      </c>
      <c r="D146" s="46"/>
      <c r="E146" s="46"/>
      <c r="F146" s="46"/>
      <c r="G146" s="46"/>
    </row>
    <row r="147" spans="1:7" x14ac:dyDescent="0.3">
      <c r="A147" s="79">
        <v>42063</v>
      </c>
      <c r="B147" s="80">
        <v>1544.1579999999999</v>
      </c>
      <c r="C147" s="80">
        <v>1073.3620000000001</v>
      </c>
      <c r="D147" s="46"/>
      <c r="E147" s="46"/>
      <c r="F147" s="46"/>
      <c r="G147" s="46"/>
    </row>
    <row r="148" spans="1:7" x14ac:dyDescent="0.3">
      <c r="A148" s="79">
        <v>42094</v>
      </c>
      <c r="B148" s="80">
        <v>1554.3309999999999</v>
      </c>
      <c r="C148" s="80">
        <v>1096.2619999999999</v>
      </c>
      <c r="D148" s="46"/>
      <c r="E148" s="46"/>
      <c r="F148" s="46"/>
      <c r="G148" s="46"/>
    </row>
    <row r="149" spans="1:7" x14ac:dyDescent="0.3">
      <c r="A149" s="79">
        <v>42124</v>
      </c>
      <c r="B149" s="80">
        <v>1544.722</v>
      </c>
      <c r="C149" s="80">
        <v>1071.5640000000001</v>
      </c>
      <c r="D149" s="46"/>
      <c r="E149" s="46"/>
      <c r="F149" s="46"/>
      <c r="G149" s="46"/>
    </row>
    <row r="150" spans="1:7" x14ac:dyDescent="0.3">
      <c r="A150" s="79">
        <v>42155</v>
      </c>
      <c r="B150" s="80">
        <v>1541.11</v>
      </c>
      <c r="C150" s="80">
        <v>1076.25</v>
      </c>
      <c r="D150" s="46"/>
      <c r="E150" s="46"/>
      <c r="F150" s="46"/>
      <c r="G150" s="46"/>
    </row>
    <row r="151" spans="1:7" x14ac:dyDescent="0.3">
      <c r="A151" s="79">
        <v>42185</v>
      </c>
      <c r="B151" s="80">
        <v>1525.7570000000001</v>
      </c>
      <c r="C151" s="80">
        <v>1056.259</v>
      </c>
      <c r="D151" s="46"/>
      <c r="E151" s="46"/>
      <c r="F151" s="46"/>
      <c r="G151" s="46"/>
    </row>
    <row r="152" spans="1:7" x14ac:dyDescent="0.3">
      <c r="A152" s="79">
        <v>42216</v>
      </c>
      <c r="B152" s="80">
        <v>1540.0889999999999</v>
      </c>
      <c r="C152" s="80">
        <v>1073.83</v>
      </c>
      <c r="D152" s="46"/>
      <c r="E152" s="46"/>
      <c r="F152" s="46"/>
      <c r="G152" s="46"/>
    </row>
    <row r="153" spans="1:7" x14ac:dyDescent="0.3">
      <c r="A153" s="79">
        <v>42247</v>
      </c>
      <c r="B153" s="80">
        <v>1540.9670000000001</v>
      </c>
      <c r="C153" s="80">
        <v>1077.05</v>
      </c>
      <c r="D153" s="46"/>
      <c r="E153" s="46"/>
      <c r="F153" s="46"/>
      <c r="G153" s="46"/>
    </row>
    <row r="154" spans="1:7" x14ac:dyDescent="0.3">
      <c r="A154" s="79">
        <v>42277</v>
      </c>
      <c r="B154" s="80">
        <v>1554.798</v>
      </c>
      <c r="C154" s="80">
        <v>1091.1020000000001</v>
      </c>
      <c r="D154" s="46"/>
      <c r="E154" s="46"/>
      <c r="F154" s="46"/>
      <c r="G154" s="46"/>
    </row>
    <row r="155" spans="1:7" x14ac:dyDescent="0.3">
      <c r="A155" s="79">
        <v>42308</v>
      </c>
      <c r="B155" s="80">
        <v>1549.2550000000001</v>
      </c>
      <c r="C155" s="80">
        <v>1078.0930000000001</v>
      </c>
      <c r="D155" s="46"/>
      <c r="E155" s="46"/>
      <c r="F155" s="46"/>
      <c r="G155" s="46"/>
    </row>
    <row r="156" spans="1:7" x14ac:dyDescent="0.3">
      <c r="A156" s="79">
        <v>42338</v>
      </c>
      <c r="B156" s="80">
        <v>1542.7090000000001</v>
      </c>
      <c r="C156" s="80">
        <v>1088.6869999999999</v>
      </c>
      <c r="D156" s="46"/>
      <c r="E156" s="46"/>
      <c r="F156" s="46"/>
      <c r="G156" s="46"/>
    </row>
    <row r="157" spans="1:7" x14ac:dyDescent="0.3">
      <c r="A157" s="79">
        <v>42369</v>
      </c>
      <c r="B157" s="80">
        <v>1540.289</v>
      </c>
      <c r="C157" s="80">
        <v>1076.6220000000001</v>
      </c>
      <c r="D157" s="46"/>
      <c r="E157" s="46"/>
      <c r="F157" s="46"/>
      <c r="G157" s="46"/>
    </row>
    <row r="158" spans="1:7" x14ac:dyDescent="0.3">
      <c r="A158" s="79">
        <v>42400</v>
      </c>
      <c r="B158" s="80">
        <v>1574.173</v>
      </c>
      <c r="C158" s="80">
        <v>1117.6079999999999</v>
      </c>
      <c r="D158" s="46"/>
      <c r="E158" s="46"/>
      <c r="F158" s="46"/>
      <c r="G158" s="46"/>
    </row>
    <row r="159" spans="1:7" x14ac:dyDescent="0.3">
      <c r="A159" s="79">
        <v>42429</v>
      </c>
      <c r="B159" s="80">
        <v>1589.664</v>
      </c>
      <c r="C159" s="80">
        <v>1133.9970000000001</v>
      </c>
      <c r="D159" s="46"/>
      <c r="E159" s="46"/>
      <c r="F159" s="46"/>
      <c r="G159" s="46"/>
    </row>
    <row r="160" spans="1:7" x14ac:dyDescent="0.3">
      <c r="A160" s="79">
        <v>42460</v>
      </c>
      <c r="B160" s="80">
        <v>1591.874</v>
      </c>
      <c r="C160" s="80">
        <v>1132.4659999999999</v>
      </c>
      <c r="D160" s="46"/>
      <c r="E160" s="46"/>
      <c r="F160" s="46"/>
      <c r="G160" s="46"/>
    </row>
    <row r="161" spans="1:7" x14ac:dyDescent="0.3">
      <c r="A161" s="79">
        <v>42490</v>
      </c>
      <c r="B161" s="80">
        <v>1589.963</v>
      </c>
      <c r="C161" s="80">
        <v>1117.873</v>
      </c>
      <c r="D161" s="46"/>
      <c r="E161" s="46"/>
      <c r="F161" s="46"/>
      <c r="G161" s="46"/>
    </row>
    <row r="162" spans="1:7" x14ac:dyDescent="0.3">
      <c r="A162" s="79">
        <v>42521</v>
      </c>
      <c r="B162" s="80">
        <v>1590.559</v>
      </c>
      <c r="C162" s="80">
        <v>1138.5909999999999</v>
      </c>
      <c r="D162" s="46"/>
      <c r="E162" s="46"/>
      <c r="F162" s="46"/>
      <c r="G162" s="46"/>
    </row>
    <row r="163" spans="1:7" x14ac:dyDescent="0.3">
      <c r="A163" s="79">
        <v>42551</v>
      </c>
      <c r="B163" s="80">
        <v>1627.5329999999999</v>
      </c>
      <c r="C163" s="80">
        <v>1205.8679999999999</v>
      </c>
      <c r="D163" s="46"/>
      <c r="E163" s="46"/>
      <c r="F163" s="46"/>
      <c r="G163" s="46"/>
    </row>
    <row r="164" spans="1:7" x14ac:dyDescent="0.3">
      <c r="A164" s="79">
        <v>42582</v>
      </c>
      <c r="B164" s="80">
        <v>1634.443</v>
      </c>
      <c r="C164" s="80">
        <v>1231.367</v>
      </c>
      <c r="D164" s="46"/>
      <c r="E164" s="46"/>
      <c r="F164" s="46"/>
      <c r="G164" s="46"/>
    </row>
    <row r="165" spans="1:7" x14ac:dyDescent="0.3">
      <c r="A165" s="79">
        <v>42613</v>
      </c>
      <c r="B165" s="80">
        <v>1625.0830000000001</v>
      </c>
      <c r="C165" s="80">
        <v>1265.623</v>
      </c>
      <c r="D165" s="46"/>
      <c r="E165" s="46"/>
      <c r="F165" s="46"/>
      <c r="G165" s="46"/>
    </row>
    <row r="166" spans="1:7" x14ac:dyDescent="0.3">
      <c r="A166" s="79">
        <v>42643</v>
      </c>
      <c r="B166" s="80">
        <v>1622.095</v>
      </c>
      <c r="C166" s="80">
        <v>1235.364</v>
      </c>
      <c r="D166" s="46"/>
      <c r="E166" s="46"/>
      <c r="F166" s="46"/>
      <c r="G166" s="46"/>
    </row>
    <row r="167" spans="1:7" x14ac:dyDescent="0.3">
      <c r="A167" s="79">
        <v>42674</v>
      </c>
      <c r="B167" s="80">
        <v>1603.42</v>
      </c>
      <c r="C167" s="80">
        <v>1184.941</v>
      </c>
      <c r="D167" s="46"/>
      <c r="E167" s="46"/>
      <c r="F167" s="46"/>
      <c r="G167" s="46"/>
    </row>
    <row r="168" spans="1:7" x14ac:dyDescent="0.3">
      <c r="A168" s="79">
        <v>42704</v>
      </c>
      <c r="B168" s="80">
        <v>1559.6320000000001</v>
      </c>
      <c r="C168" s="80">
        <v>1168.758</v>
      </c>
      <c r="D168" s="46"/>
      <c r="E168" s="46"/>
      <c r="F168" s="46"/>
      <c r="G168" s="46"/>
    </row>
    <row r="169" spans="1:7" x14ac:dyDescent="0.3">
      <c r="A169" s="79">
        <v>42735</v>
      </c>
      <c r="B169" s="80">
        <v>1557.8440000000001</v>
      </c>
      <c r="C169" s="80">
        <v>1190.768</v>
      </c>
      <c r="D169" s="46"/>
      <c r="E169" s="46"/>
      <c r="F169" s="46"/>
      <c r="G169" s="46"/>
    </row>
    <row r="170" spans="1:7" x14ac:dyDescent="0.3">
      <c r="A170" s="79">
        <v>42766</v>
      </c>
      <c r="B170" s="80">
        <v>1561.3620000000001</v>
      </c>
      <c r="C170" s="80">
        <v>1169.088</v>
      </c>
      <c r="D170" s="46"/>
      <c r="E170" s="46"/>
      <c r="F170" s="46"/>
      <c r="G170" s="46"/>
    </row>
    <row r="171" spans="1:7" x14ac:dyDescent="0.3">
      <c r="A171" s="79">
        <v>42794</v>
      </c>
      <c r="B171" s="80">
        <v>1569.4359999999999</v>
      </c>
      <c r="C171" s="80">
        <v>1206.202</v>
      </c>
      <c r="D171" s="46"/>
      <c r="E171" s="46"/>
      <c r="F171" s="46"/>
      <c r="G171" s="46"/>
    </row>
    <row r="172" spans="1:7" x14ac:dyDescent="0.3">
      <c r="A172" s="79">
        <v>42825</v>
      </c>
      <c r="B172" s="80">
        <v>1568.5150000000001</v>
      </c>
      <c r="C172" s="80">
        <v>1210.2239999999999</v>
      </c>
      <c r="D172" s="46"/>
      <c r="E172" s="46"/>
      <c r="F172" s="46"/>
      <c r="G172" s="46"/>
    </row>
    <row r="173" spans="1:7" x14ac:dyDescent="0.3">
      <c r="A173" s="79">
        <v>42855</v>
      </c>
      <c r="B173" s="80">
        <v>1579.5</v>
      </c>
      <c r="C173" s="80">
        <v>1213.3499999999999</v>
      </c>
      <c r="D173" s="46"/>
      <c r="E173" s="46"/>
      <c r="F173" s="46"/>
      <c r="G173" s="46"/>
    </row>
    <row r="174" spans="1:7" x14ac:dyDescent="0.3">
      <c r="A174" s="79">
        <v>42886</v>
      </c>
      <c r="B174" s="80">
        <v>1590.085</v>
      </c>
      <c r="C174" s="80">
        <v>1219.22</v>
      </c>
      <c r="D174" s="46"/>
      <c r="E174" s="46"/>
      <c r="F174" s="46"/>
      <c r="G174" s="46"/>
    </row>
    <row r="175" spans="1:7" x14ac:dyDescent="0.3">
      <c r="A175" s="79">
        <v>42916</v>
      </c>
      <c r="B175" s="80">
        <v>1587.7</v>
      </c>
      <c r="C175" s="80">
        <v>1193.7449999999999</v>
      </c>
      <c r="D175" s="46"/>
      <c r="E175" s="46"/>
      <c r="F175" s="46"/>
      <c r="G175" s="46"/>
    </row>
    <row r="176" spans="1:7" x14ac:dyDescent="0.3">
      <c r="A176" s="79">
        <v>42947</v>
      </c>
      <c r="B176" s="80">
        <v>1590.114</v>
      </c>
      <c r="C176" s="80">
        <v>1197.6179999999999</v>
      </c>
      <c r="D176" s="46"/>
      <c r="E176" s="46"/>
      <c r="F176" s="46"/>
      <c r="G176" s="46"/>
    </row>
    <row r="177" spans="1:7" x14ac:dyDescent="0.3">
      <c r="A177" s="79">
        <v>42978</v>
      </c>
      <c r="B177" s="80">
        <v>1608.0930000000001</v>
      </c>
      <c r="C177" s="80">
        <v>1222.0530000000001</v>
      </c>
      <c r="D177" s="46"/>
      <c r="E177" s="46"/>
      <c r="F177" s="46"/>
      <c r="G177" s="46"/>
    </row>
    <row r="178" spans="1:7" x14ac:dyDescent="0.3">
      <c r="A178" s="79">
        <v>43008</v>
      </c>
      <c r="B178" s="80">
        <v>1593.95</v>
      </c>
      <c r="C178" s="80">
        <v>1189.086</v>
      </c>
      <c r="D178" s="46"/>
      <c r="E178" s="46"/>
      <c r="F178" s="46"/>
      <c r="G178" s="46"/>
    </row>
    <row r="179" spans="1:7" x14ac:dyDescent="0.3">
      <c r="A179" s="79">
        <v>43039</v>
      </c>
      <c r="B179" s="80">
        <v>1592.2</v>
      </c>
      <c r="C179" s="80">
        <v>1192.6389999999999</v>
      </c>
      <c r="D179" s="46"/>
      <c r="E179" s="46"/>
      <c r="F179" s="46"/>
      <c r="G179" s="46"/>
    </row>
    <row r="180" spans="1:7" x14ac:dyDescent="0.3">
      <c r="A180" s="79">
        <v>43069</v>
      </c>
      <c r="B180" s="80">
        <v>1590.269</v>
      </c>
      <c r="C180" s="80">
        <v>1196.086</v>
      </c>
      <c r="D180" s="46"/>
      <c r="E180" s="46"/>
      <c r="F180" s="46"/>
      <c r="G180" s="46"/>
    </row>
    <row r="181" spans="1:7" x14ac:dyDescent="0.3">
      <c r="A181" s="79">
        <v>43100</v>
      </c>
      <c r="B181" s="80">
        <v>1595.7729999999999</v>
      </c>
      <c r="C181" s="80">
        <v>1213.654</v>
      </c>
      <c r="D181" s="46"/>
      <c r="E181" s="46"/>
      <c r="F181" s="46"/>
      <c r="G181" s="46"/>
    </row>
    <row r="182" spans="1:7" x14ac:dyDescent="0.3">
      <c r="A182" s="79">
        <v>43131</v>
      </c>
      <c r="B182" s="80">
        <v>1573.4970000000001</v>
      </c>
      <c r="C182" s="80">
        <v>1188.3040000000001</v>
      </c>
      <c r="D182" s="46"/>
      <c r="E182" s="46"/>
      <c r="F182" s="46"/>
      <c r="G182" s="46"/>
    </row>
    <row r="183" spans="1:7" x14ac:dyDescent="0.3">
      <c r="A183" s="79">
        <v>43159</v>
      </c>
      <c r="B183" s="80">
        <v>1561.104</v>
      </c>
      <c r="C183" s="80">
        <v>1191.325</v>
      </c>
      <c r="D183" s="46"/>
      <c r="E183" s="46"/>
      <c r="F183" s="46"/>
      <c r="G183" s="46"/>
    </row>
    <row r="184" spans="1:7" x14ac:dyDescent="0.3">
      <c r="A184" s="79">
        <v>43190</v>
      </c>
      <c r="B184" s="80">
        <v>1576.5260000000001</v>
      </c>
      <c r="C184" s="80">
        <v>1215.982</v>
      </c>
      <c r="D184" s="46"/>
      <c r="E184" s="46"/>
      <c r="F184" s="46"/>
      <c r="G184" s="46"/>
    </row>
    <row r="185" spans="1:7" x14ac:dyDescent="0.3">
      <c r="A185" s="79">
        <v>43220</v>
      </c>
      <c r="B185" s="80">
        <v>1563.5509999999999</v>
      </c>
      <c r="C185" s="80">
        <v>1203.23</v>
      </c>
      <c r="D185" s="46"/>
      <c r="E185" s="46"/>
      <c r="F185" s="46"/>
      <c r="G185" s="46"/>
    </row>
    <row r="186" spans="1:7" x14ac:dyDescent="0.3">
      <c r="A186" s="79">
        <v>43251</v>
      </c>
      <c r="B186" s="80">
        <v>1577.751</v>
      </c>
      <c r="C186" s="80">
        <v>1225.029</v>
      </c>
      <c r="D186" s="46"/>
      <c r="E186" s="46"/>
      <c r="F186" s="46"/>
      <c r="G186" s="46"/>
    </row>
    <row r="187" spans="1:7" x14ac:dyDescent="0.3">
      <c r="A187" s="79">
        <v>43281</v>
      </c>
      <c r="B187" s="80">
        <v>1578.2070000000001</v>
      </c>
      <c r="C187" s="80">
        <v>1217.6880000000001</v>
      </c>
      <c r="D187" s="46"/>
      <c r="E187" s="46"/>
      <c r="F187" s="46"/>
      <c r="G187" s="46"/>
    </row>
    <row r="188" spans="1:7" x14ac:dyDescent="0.3">
      <c r="A188" s="79">
        <v>43312</v>
      </c>
      <c r="B188" s="80">
        <v>1571.0519999999999</v>
      </c>
      <c r="C188" s="80">
        <v>1213.528</v>
      </c>
      <c r="D188" s="46"/>
      <c r="E188" s="46"/>
      <c r="F188" s="46"/>
      <c r="G188" s="46"/>
    </row>
    <row r="189" spans="1:7" x14ac:dyDescent="0.3">
      <c r="A189" s="79">
        <v>43343</v>
      </c>
      <c r="B189" s="80">
        <v>1583.3219999999999</v>
      </c>
      <c r="C189" s="80">
        <v>1215.296</v>
      </c>
      <c r="D189" s="46"/>
      <c r="E189" s="46"/>
      <c r="F189" s="46"/>
      <c r="G189" s="46"/>
    </row>
    <row r="190" spans="1:7" x14ac:dyDescent="0.3">
      <c r="A190" s="79">
        <v>43373</v>
      </c>
      <c r="B190" s="80">
        <v>1567.837</v>
      </c>
      <c r="C190" s="80">
        <v>1195.7370000000001</v>
      </c>
      <c r="D190" s="46"/>
      <c r="E190" s="46"/>
      <c r="F190" s="46"/>
      <c r="G190" s="46"/>
    </row>
    <row r="191" spans="1:7" x14ac:dyDescent="0.3">
      <c r="A191" s="79">
        <v>43404</v>
      </c>
      <c r="B191" s="80">
        <v>1559.5730000000001</v>
      </c>
      <c r="C191" s="80">
        <v>1207.501</v>
      </c>
      <c r="D191" s="46"/>
      <c r="E191" s="46"/>
      <c r="F191" s="46"/>
      <c r="G191" s="46"/>
    </row>
    <row r="192" spans="1:7" x14ac:dyDescent="0.3">
      <c r="A192" s="79">
        <v>43434</v>
      </c>
      <c r="B192" s="80">
        <v>1573.614</v>
      </c>
      <c r="C192" s="80">
        <v>1191.915</v>
      </c>
      <c r="D192" s="46"/>
      <c r="E192" s="46"/>
      <c r="F192" s="46"/>
      <c r="G192" s="46"/>
    </row>
    <row r="193" spans="1:7" x14ac:dyDescent="0.3">
      <c r="A193" s="79">
        <v>43465</v>
      </c>
      <c r="B193" s="80">
        <v>1608.5429999999999</v>
      </c>
      <c r="C193" s="80">
        <v>1220.0989999999999</v>
      </c>
      <c r="D193" s="46"/>
      <c r="E193" s="46"/>
      <c r="F193" s="46"/>
      <c r="G193" s="46"/>
    </row>
    <row r="194" spans="1:7" x14ac:dyDescent="0.3">
      <c r="A194" s="79">
        <v>43496</v>
      </c>
      <c r="B194" s="80">
        <v>1616.0540000000001</v>
      </c>
      <c r="C194" s="80">
        <v>1234.086</v>
      </c>
      <c r="D194" s="46"/>
      <c r="E194" s="46"/>
      <c r="F194" s="46"/>
      <c r="G194" s="46"/>
    </row>
    <row r="195" spans="1:7" x14ac:dyDescent="0.3">
      <c r="A195" s="79">
        <v>43524</v>
      </c>
      <c r="B195" s="80">
        <v>1611.569</v>
      </c>
      <c r="C195" s="80">
        <v>1222.452</v>
      </c>
      <c r="D195" s="46"/>
      <c r="E195" s="46"/>
      <c r="F195" s="46"/>
      <c r="G195" s="46"/>
    </row>
    <row r="196" spans="1:7" x14ac:dyDescent="0.3">
      <c r="A196" s="79">
        <v>43555</v>
      </c>
      <c r="B196" s="80">
        <v>1643.5930000000001</v>
      </c>
      <c r="C196" s="80">
        <v>1263.884</v>
      </c>
      <c r="D196" s="46"/>
      <c r="E196" s="46"/>
      <c r="F196" s="46"/>
      <c r="G196" s="46"/>
    </row>
    <row r="197" spans="1:7" x14ac:dyDescent="0.3">
      <c r="A197" s="79">
        <v>43585</v>
      </c>
      <c r="B197" s="80">
        <v>1638.2750000000001</v>
      </c>
      <c r="C197" s="80">
        <v>1243.2</v>
      </c>
      <c r="D197" s="46"/>
      <c r="E197" s="46"/>
      <c r="F197" s="46"/>
      <c r="G197" s="46"/>
    </row>
    <row r="198" spans="1:7" x14ac:dyDescent="0.3">
      <c r="A198" s="79">
        <v>43616</v>
      </c>
      <c r="B198" s="80">
        <v>1678.299</v>
      </c>
      <c r="C198" s="80">
        <v>1279.1089999999999</v>
      </c>
      <c r="D198" s="46"/>
      <c r="E198" s="46"/>
      <c r="F198" s="46"/>
      <c r="G198" s="46"/>
    </row>
    <row r="199" spans="1:7" x14ac:dyDescent="0.3">
      <c r="A199" s="79">
        <v>43646</v>
      </c>
      <c r="B199" s="80">
        <v>1693.874</v>
      </c>
      <c r="C199" s="80">
        <v>1281.424</v>
      </c>
      <c r="D199" s="46"/>
      <c r="E199" s="46"/>
      <c r="F199" s="46"/>
      <c r="G199" s="46"/>
    </row>
    <row r="200" spans="1:7" x14ac:dyDescent="0.3">
      <c r="A200" s="79">
        <v>43677</v>
      </c>
      <c r="B200" s="80">
        <v>1692.09</v>
      </c>
      <c r="C200" s="80">
        <v>1309.394</v>
      </c>
      <c r="D200" s="46"/>
      <c r="E200" s="46"/>
      <c r="F200" s="46"/>
      <c r="G200" s="46"/>
    </row>
    <row r="201" spans="1:7" x14ac:dyDescent="0.3">
      <c r="A201" s="79">
        <v>43708</v>
      </c>
      <c r="B201" s="80">
        <v>1752.2190000000001</v>
      </c>
      <c r="C201" s="80">
        <v>1358.73</v>
      </c>
      <c r="D201" s="46"/>
      <c r="E201" s="46"/>
      <c r="F201" s="46"/>
      <c r="G201" s="46"/>
    </row>
    <row r="202" spans="1:7" x14ac:dyDescent="0.3">
      <c r="A202" s="79">
        <v>43738</v>
      </c>
      <c r="B202" s="80">
        <v>1736.3889999999999</v>
      </c>
      <c r="C202" s="80">
        <v>1365.932</v>
      </c>
      <c r="D202" s="46"/>
      <c r="E202" s="46"/>
      <c r="F202" s="46"/>
      <c r="G202" s="46"/>
    </row>
    <row r="203" spans="1:7" x14ac:dyDescent="0.3">
      <c r="A203" s="79">
        <v>43769</v>
      </c>
      <c r="B203" s="80">
        <v>1736.922</v>
      </c>
      <c r="C203" s="80">
        <v>1339.569</v>
      </c>
      <c r="D203" s="46"/>
      <c r="E203" s="46"/>
      <c r="F203" s="46"/>
      <c r="G203" s="46"/>
    </row>
    <row r="204" spans="1:7" x14ac:dyDescent="0.3">
      <c r="A204" s="79">
        <v>43799</v>
      </c>
      <c r="B204" s="80">
        <v>1731.579</v>
      </c>
      <c r="C204" s="80">
        <v>1328.155</v>
      </c>
      <c r="D204" s="46"/>
      <c r="E204" s="46"/>
      <c r="F204" s="46"/>
      <c r="G204" s="46"/>
    </row>
    <row r="205" spans="1:7" x14ac:dyDescent="0.3">
      <c r="A205" s="79">
        <v>43830</v>
      </c>
      <c r="B205" s="80">
        <v>1720.9090000000001</v>
      </c>
      <c r="C205" s="80">
        <v>1309.223</v>
      </c>
      <c r="D205" s="46"/>
      <c r="E205" s="46"/>
      <c r="F205" s="46"/>
      <c r="G205" s="46"/>
    </row>
    <row r="206" spans="1:7" x14ac:dyDescent="0.3">
      <c r="A206" s="79">
        <v>43861</v>
      </c>
      <c r="B206" s="80">
        <v>1765.039</v>
      </c>
      <c r="C206" s="80">
        <v>1358.45</v>
      </c>
      <c r="D206" s="46"/>
      <c r="E206" s="46"/>
      <c r="F206" s="46"/>
      <c r="G206" s="46"/>
    </row>
    <row r="207" spans="1:7" x14ac:dyDescent="0.3">
      <c r="A207" s="79">
        <v>43890</v>
      </c>
      <c r="B207" s="80">
        <v>1813.192</v>
      </c>
      <c r="C207" s="80">
        <v>1376.7909999999999</v>
      </c>
      <c r="D207" s="46"/>
      <c r="E207" s="46"/>
      <c r="F207" s="46"/>
      <c r="G207" s="46"/>
    </row>
    <row r="208" spans="1:7" x14ac:dyDescent="0.3">
      <c r="A208" s="79">
        <v>43921</v>
      </c>
      <c r="B208" s="80">
        <v>1872.3779999999999</v>
      </c>
      <c r="C208" s="80">
        <v>1398.501</v>
      </c>
      <c r="D208" s="46"/>
      <c r="E208" s="46"/>
      <c r="F208" s="46"/>
      <c r="G208" s="46"/>
    </row>
    <row r="209" spans="1:7" x14ac:dyDescent="0.3">
      <c r="A209" s="79">
        <v>43951</v>
      </c>
      <c r="B209" s="80">
        <v>1879.9670000000001</v>
      </c>
      <c r="C209" s="80">
        <v>1443.0709999999999</v>
      </c>
      <c r="D209" s="46"/>
      <c r="E209" s="46"/>
      <c r="F209" s="46"/>
      <c r="G209" s="46"/>
    </row>
    <row r="210" spans="1:7" x14ac:dyDescent="0.3">
      <c r="A210" s="79">
        <v>43982</v>
      </c>
      <c r="B210" s="80">
        <v>1874.175</v>
      </c>
      <c r="C210" s="80">
        <v>1443.39</v>
      </c>
      <c r="D210" s="46"/>
      <c r="E210" s="46"/>
      <c r="F210" s="46"/>
      <c r="G210" s="46"/>
    </row>
    <row r="211" spans="1:7" x14ac:dyDescent="0.3">
      <c r="A211" s="79">
        <v>44012</v>
      </c>
      <c r="B211" s="80">
        <v>1876.212</v>
      </c>
      <c r="C211" s="80">
        <v>1434.78</v>
      </c>
      <c r="D211" s="46"/>
      <c r="E211" s="46"/>
      <c r="F211" s="46"/>
      <c r="G211" s="46"/>
    </row>
    <row r="212" spans="1:7" x14ac:dyDescent="0.3">
      <c r="A212" s="79">
        <v>44043</v>
      </c>
      <c r="B212" s="80">
        <v>1898.944</v>
      </c>
      <c r="C212" s="80">
        <v>1440.797</v>
      </c>
      <c r="D212" s="46"/>
      <c r="E212" s="46"/>
      <c r="F212" s="46"/>
      <c r="G212" s="46"/>
    </row>
    <row r="213" spans="1:7" x14ac:dyDescent="0.3">
      <c r="A213" s="79">
        <v>44074</v>
      </c>
      <c r="B213" s="80">
        <v>1876.126</v>
      </c>
      <c r="C213" s="80">
        <v>1394.376</v>
      </c>
      <c r="D213" s="46"/>
      <c r="E213" s="46"/>
      <c r="F213" s="46"/>
      <c r="G213" s="46"/>
    </row>
    <row r="214" spans="1:7" x14ac:dyDescent="0.3">
      <c r="A214" s="79">
        <v>44104</v>
      </c>
      <c r="B214" s="80">
        <v>1879.597</v>
      </c>
      <c r="C214" s="80">
        <v>1415.88</v>
      </c>
      <c r="D214" s="46"/>
      <c r="E214" s="46"/>
      <c r="F214" s="46"/>
      <c r="G214" s="46"/>
    </row>
    <row r="215" spans="1:7" x14ac:dyDescent="0.3">
      <c r="A215" s="79">
        <v>44135</v>
      </c>
      <c r="B215" s="80">
        <v>1860.62</v>
      </c>
      <c r="C215" s="80">
        <v>1407.942</v>
      </c>
      <c r="D215" s="46"/>
      <c r="E215" s="46"/>
      <c r="F215" s="46"/>
      <c r="G215" s="46"/>
    </row>
    <row r="216" spans="1:7" x14ac:dyDescent="0.3">
      <c r="A216" s="79">
        <v>44165</v>
      </c>
      <c r="B216" s="80">
        <v>1867.7070000000001</v>
      </c>
      <c r="C216" s="80">
        <v>1401.299</v>
      </c>
      <c r="D216" s="46"/>
      <c r="E216" s="46"/>
      <c r="F216" s="46"/>
      <c r="G216" s="46"/>
    </row>
    <row r="217" spans="1:7" x14ac:dyDescent="0.3">
      <c r="A217" s="79">
        <v>44196</v>
      </c>
      <c r="B217" s="80">
        <v>1862.4269999999999</v>
      </c>
      <c r="C217" s="80">
        <v>1424.96</v>
      </c>
      <c r="D217" s="46"/>
      <c r="E217" s="46"/>
      <c r="F217" s="46"/>
      <c r="G217" s="46"/>
    </row>
    <row r="218" spans="1:7" x14ac:dyDescent="0.3">
      <c r="A218" s="79">
        <v>44227</v>
      </c>
      <c r="B218" s="80">
        <v>1841.5139999999999</v>
      </c>
      <c r="C218" s="80">
        <v>1399.806</v>
      </c>
      <c r="D218" s="46"/>
      <c r="E218" s="46"/>
      <c r="F218" s="46"/>
      <c r="G218" s="46"/>
    </row>
    <row r="219" spans="1:7" x14ac:dyDescent="0.3">
      <c r="A219" s="79">
        <v>44255</v>
      </c>
      <c r="B219" s="80">
        <v>1799.413</v>
      </c>
      <c r="C219" s="80">
        <v>1318.308</v>
      </c>
      <c r="D219" s="46"/>
      <c r="E219" s="46"/>
      <c r="F219" s="46"/>
      <c r="G219" s="46"/>
    </row>
    <row r="220" spans="1:7" x14ac:dyDescent="0.3">
      <c r="A220" s="79">
        <v>44286</v>
      </c>
      <c r="B220" s="80">
        <v>1776.644</v>
      </c>
      <c r="C220" s="80">
        <v>1318.5239999999999</v>
      </c>
      <c r="D220" s="46"/>
      <c r="E220" s="46"/>
      <c r="F220" s="46"/>
      <c r="G220" s="46"/>
    </row>
    <row r="221" spans="1:7" x14ac:dyDescent="0.3">
      <c r="A221" s="79">
        <v>44316</v>
      </c>
      <c r="B221" s="80">
        <v>1791.576</v>
      </c>
      <c r="C221" s="80">
        <v>1325.8240000000001</v>
      </c>
      <c r="D221" s="46"/>
      <c r="E221" s="46"/>
      <c r="F221" s="46"/>
      <c r="G221" s="46"/>
    </row>
    <row r="222" spans="1:7" x14ac:dyDescent="0.3">
      <c r="A222" s="79">
        <v>44347</v>
      </c>
      <c r="B222" s="80">
        <v>1796.9090000000001</v>
      </c>
      <c r="C222" s="80">
        <v>1332.059</v>
      </c>
      <c r="D222" s="46"/>
      <c r="E222" s="46"/>
      <c r="F222" s="46"/>
      <c r="G222" s="46"/>
    </row>
    <row r="223" spans="1:7" x14ac:dyDescent="0.3">
      <c r="A223" s="79">
        <v>44377</v>
      </c>
      <c r="B223" s="80">
        <v>1812.521</v>
      </c>
      <c r="C223" s="80">
        <v>1341.9949999999999</v>
      </c>
      <c r="D223" s="46"/>
      <c r="E223" s="46"/>
      <c r="F223" s="46"/>
      <c r="G223" s="46"/>
    </row>
    <row r="224" spans="1:7" x14ac:dyDescent="0.3">
      <c r="A224" s="79">
        <v>44408</v>
      </c>
      <c r="B224" s="80">
        <v>1836.8</v>
      </c>
      <c r="C224" s="80">
        <v>1380.5039999999999</v>
      </c>
      <c r="D224" s="46"/>
      <c r="E224" s="46"/>
      <c r="F224" s="46"/>
      <c r="G224" s="46"/>
    </row>
    <row r="225" spans="1:7" x14ac:dyDescent="0.3">
      <c r="A225" s="79">
        <v>44439</v>
      </c>
      <c r="B225" s="80">
        <v>1833.933</v>
      </c>
      <c r="C225" s="80">
        <v>1368.7139999999999</v>
      </c>
      <c r="D225" s="46"/>
      <c r="E225" s="46"/>
      <c r="F225" s="46"/>
      <c r="G225" s="46"/>
    </row>
    <row r="226" spans="1:7" x14ac:dyDescent="0.3">
      <c r="A226" s="79">
        <v>44469</v>
      </c>
      <c r="B226" s="80">
        <v>1811.8989999999999</v>
      </c>
      <c r="C226" s="80">
        <v>1316.1479999999999</v>
      </c>
      <c r="D226" s="46"/>
      <c r="E226" s="46"/>
      <c r="F226" s="46"/>
      <c r="G226" s="46"/>
    </row>
    <row r="227" spans="1:7" x14ac:dyDescent="0.3">
      <c r="A227" s="79">
        <v>44500</v>
      </c>
      <c r="B227" s="80">
        <v>1812.463</v>
      </c>
      <c r="C227" s="80">
        <v>1345.9090000000001</v>
      </c>
      <c r="D227" s="46"/>
      <c r="E227" s="46"/>
      <c r="F227" s="46"/>
      <c r="G227" s="46"/>
    </row>
    <row r="228" spans="1:7" x14ac:dyDescent="0.3">
      <c r="A228" s="79">
        <v>44530</v>
      </c>
      <c r="B228" s="80">
        <v>1828.6030000000001</v>
      </c>
      <c r="C228" s="80">
        <v>1388.154</v>
      </c>
      <c r="D228" s="46"/>
      <c r="E228" s="46"/>
      <c r="F228" s="46"/>
      <c r="G228" s="46"/>
    </row>
    <row r="229" spans="1:7" x14ac:dyDescent="0.3">
      <c r="A229" s="79">
        <v>44561</v>
      </c>
      <c r="B229" s="80">
        <v>1818.1790000000001</v>
      </c>
      <c r="C229" s="80">
        <v>1349.252</v>
      </c>
      <c r="D229" s="46"/>
      <c r="E229" s="46"/>
      <c r="F229" s="46"/>
      <c r="G229" s="46"/>
    </row>
    <row r="230" spans="1:7" x14ac:dyDescent="0.3">
      <c r="A230" s="79">
        <v>44592</v>
      </c>
      <c r="B230" s="80">
        <v>1783.88</v>
      </c>
      <c r="C230" s="80">
        <v>1294.8520000000001</v>
      </c>
      <c r="D230" s="46"/>
      <c r="E230" s="46"/>
      <c r="F230" s="46"/>
      <c r="G230" s="46"/>
    </row>
    <row r="231" spans="1:7" x14ac:dyDescent="0.3">
      <c r="A231" s="79">
        <v>44620</v>
      </c>
      <c r="B231" s="80">
        <v>1770.336</v>
      </c>
      <c r="C231" s="80">
        <v>1276.0920000000001</v>
      </c>
      <c r="D231" s="46"/>
      <c r="E231" s="46"/>
      <c r="F231" s="46"/>
      <c r="G231" s="46"/>
    </row>
    <row r="232" spans="1:7" x14ac:dyDescent="0.3">
      <c r="A232" s="79">
        <v>44651</v>
      </c>
      <c r="B232" s="80">
        <v>1717.1289999999999</v>
      </c>
      <c r="C232" s="80">
        <v>1248.2339999999999</v>
      </c>
      <c r="D232" s="46"/>
      <c r="E232" s="46"/>
      <c r="F232" s="46"/>
      <c r="G232" s="46"/>
    </row>
    <row r="233" spans="1:7" x14ac:dyDescent="0.3">
      <c r="A233" s="79">
        <v>44681</v>
      </c>
      <c r="B233" s="80">
        <v>1662.0409999999999</v>
      </c>
      <c r="C233" s="80">
        <v>1210.836</v>
      </c>
      <c r="D233" s="46"/>
      <c r="E233" s="46"/>
      <c r="F233" s="46"/>
      <c r="G233" s="46"/>
    </row>
    <row r="234" spans="1:7" x14ac:dyDescent="0.3">
      <c r="A234" s="79">
        <v>44712</v>
      </c>
      <c r="B234" s="80">
        <v>1663.075</v>
      </c>
      <c r="C234" s="80">
        <v>1173.067</v>
      </c>
      <c r="D234" s="46"/>
      <c r="E234" s="46"/>
      <c r="F234" s="46"/>
      <c r="G234" s="46"/>
    </row>
    <row r="235" spans="1:7" x14ac:dyDescent="0.3">
      <c r="A235" s="79">
        <v>44742</v>
      </c>
      <c r="B235" s="80">
        <v>1651.0350000000001</v>
      </c>
      <c r="C235" s="80">
        <v>1150.2539999999999</v>
      </c>
      <c r="D235" s="46"/>
      <c r="E235" s="46"/>
      <c r="F235" s="46"/>
      <c r="G235" s="46"/>
    </row>
    <row r="236" spans="1:7" x14ac:dyDescent="0.3">
      <c r="A236" s="79">
        <v>44773</v>
      </c>
      <c r="B236" s="80">
        <v>1678.42</v>
      </c>
      <c r="C236" s="80">
        <v>1181.634</v>
      </c>
      <c r="D236" s="46"/>
      <c r="E236" s="46"/>
      <c r="F236" s="46"/>
      <c r="G236" s="46"/>
    </row>
    <row r="237" spans="1:7" x14ac:dyDescent="0.3">
      <c r="A237" s="79">
        <v>44804</v>
      </c>
      <c r="B237" s="80">
        <v>1634.4870000000001</v>
      </c>
      <c r="C237" s="80">
        <v>1086.06</v>
      </c>
      <c r="D237" s="46"/>
      <c r="E237" s="46"/>
      <c r="F237" s="46"/>
      <c r="G237" s="46"/>
    </row>
    <row r="238" spans="1:7" x14ac:dyDescent="0.3">
      <c r="A238" s="79">
        <v>44834</v>
      </c>
      <c r="B238" s="80">
        <v>1573.1759999999999</v>
      </c>
      <c r="C238" s="80">
        <v>994.16899999999998</v>
      </c>
      <c r="D238" s="46"/>
      <c r="E238" s="46"/>
      <c r="F238" s="46"/>
      <c r="G238" s="46"/>
    </row>
    <row r="239" spans="1:7" x14ac:dyDescent="0.3">
      <c r="A239" s="79">
        <v>44865</v>
      </c>
      <c r="B239" s="80">
        <v>1549.2329999999999</v>
      </c>
      <c r="C239" s="80">
        <v>1026.9649999999999</v>
      </c>
      <c r="D239" s="46"/>
      <c r="E239" s="46"/>
      <c r="F239" s="46"/>
      <c r="G239" s="46"/>
    </row>
    <row r="240" spans="1:7" x14ac:dyDescent="0.3">
      <c r="A240" s="79">
        <v>44895</v>
      </c>
      <c r="B240" s="80">
        <v>1592.807</v>
      </c>
      <c r="C240" s="80">
        <v>1057.8150000000001</v>
      </c>
      <c r="D240" s="46"/>
      <c r="E240" s="46"/>
      <c r="F240" s="46"/>
      <c r="G240" s="46"/>
    </row>
    <row r="241" spans="1:7" x14ac:dyDescent="0.3">
      <c r="A241" s="79">
        <v>44926</v>
      </c>
      <c r="B241" s="80">
        <v>1584.4570000000001</v>
      </c>
      <c r="C241" s="80">
        <v>1011.116</v>
      </c>
      <c r="D241" s="46"/>
      <c r="E241" s="46"/>
      <c r="F241" s="46"/>
      <c r="G241" s="46"/>
    </row>
    <row r="242" spans="1:7" x14ac:dyDescent="0.3">
      <c r="A242" s="79">
        <v>44957</v>
      </c>
      <c r="B242" s="80">
        <v>1625.5609999999999</v>
      </c>
      <c r="C242" s="80">
        <v>1038.9590000000001</v>
      </c>
      <c r="D242" s="46"/>
      <c r="E242" s="46"/>
      <c r="F242" s="46"/>
      <c r="G242" s="46"/>
    </row>
    <row r="243" spans="1:7" x14ac:dyDescent="0.3">
      <c r="A243" s="79">
        <v>44985</v>
      </c>
      <c r="B243" s="80">
        <v>1586.404</v>
      </c>
      <c r="C243" s="80">
        <v>1003.465</v>
      </c>
      <c r="D243" s="46"/>
      <c r="E243" s="46"/>
      <c r="F243" s="46"/>
      <c r="G243" s="46"/>
    </row>
    <row r="244" spans="1:7" x14ac:dyDescent="0.3">
      <c r="A244" s="79">
        <v>45016</v>
      </c>
      <c r="B244" s="80">
        <v>1633.325</v>
      </c>
      <c r="C244" s="80">
        <v>1033.8579999999999</v>
      </c>
      <c r="D244" s="46"/>
      <c r="E244" s="46"/>
      <c r="F244" s="46"/>
      <c r="G244" s="46"/>
    </row>
    <row r="245" spans="1:7" x14ac:dyDescent="0.3">
      <c r="A245" s="79">
        <v>45046</v>
      </c>
      <c r="B245" s="80">
        <v>1642.258</v>
      </c>
      <c r="C245" s="80">
        <v>1015.381</v>
      </c>
      <c r="D245" s="46"/>
      <c r="E245" s="46"/>
      <c r="F245" s="46"/>
      <c r="G245" s="46"/>
    </row>
    <row r="246" spans="1:7" x14ac:dyDescent="0.3">
      <c r="A246" s="79">
        <v>45077</v>
      </c>
      <c r="B246" s="80">
        <v>1622.09</v>
      </c>
      <c r="C246" s="80">
        <v>976.87599999999998</v>
      </c>
      <c r="D246" s="46"/>
      <c r="E246" s="46"/>
      <c r="F246" s="46"/>
      <c r="G246" s="46"/>
    </row>
    <row r="247" spans="1:7" x14ac:dyDescent="0.3">
      <c r="A247" s="79">
        <v>45107</v>
      </c>
      <c r="B247" s="80">
        <v>1610.326</v>
      </c>
      <c r="C247" s="80">
        <v>972.19899999999996</v>
      </c>
      <c r="D247" s="46"/>
      <c r="E247" s="46"/>
      <c r="F247" s="46"/>
      <c r="G247" s="46"/>
    </row>
    <row r="248" spans="1:7" x14ac:dyDescent="0.3">
      <c r="A248" s="79">
        <v>45138</v>
      </c>
      <c r="B248" s="80">
        <v>1603.9459999999999</v>
      </c>
      <c r="C248" s="80">
        <v>980.08699999999999</v>
      </c>
      <c r="D248" s="46"/>
      <c r="E248" s="46"/>
      <c r="F248" s="46"/>
      <c r="G248" s="46"/>
    </row>
    <row r="249" spans="1:7" x14ac:dyDescent="0.3">
      <c r="A249" s="79">
        <v>45169</v>
      </c>
      <c r="B249" s="80">
        <v>1594.6089999999999</v>
      </c>
      <c r="C249" s="80">
        <v>975.03</v>
      </c>
      <c r="D249" s="46"/>
      <c r="E249" s="46"/>
      <c r="F249" s="46"/>
      <c r="G249" s="46"/>
    </row>
  </sheetData>
  <mergeCells count="2">
    <mergeCell ref="B7:C7"/>
    <mergeCell ref="D7:G7"/>
  </mergeCells>
  <pageMargins left="0.7" right="0.7" top="0.75" bottom="0.75"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A68072A6084CD4F91BAAE6C620D7BEF" ma:contentTypeVersion="6" ma:contentTypeDescription="Create a new document." ma:contentTypeScope="" ma:versionID="d643f4c24d09188bd26061b55196d7a1">
  <xsd:schema xmlns:xsd="http://www.w3.org/2001/XMLSchema" xmlns:xs="http://www.w3.org/2001/XMLSchema" xmlns:p="http://schemas.microsoft.com/office/2006/metadata/properties" xmlns:ns2="909f915b-ce8e-490f-99f5-b5325376a70b" xmlns:ns3="6a327845-9b51-4b97-9d66-4acf00a098f1" targetNamespace="http://schemas.microsoft.com/office/2006/metadata/properties" ma:root="true" ma:fieldsID="a88ba98809e1f1563bcfa89b61229402" ns2:_="" ns3:_="">
    <xsd:import namespace="909f915b-ce8e-490f-99f5-b5325376a70b"/>
    <xsd:import namespace="6a327845-9b51-4b97-9d66-4acf00a098f1"/>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09f915b-ce8e-490f-99f5-b5325376a70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a327845-9b51-4b97-9d66-4acf00a098f1"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8B0279F-193F-454B-BD10-DB54A8962372}"/>
</file>

<file path=customXml/itemProps2.xml><?xml version="1.0" encoding="utf-8"?>
<ds:datastoreItem xmlns:ds="http://schemas.openxmlformats.org/officeDocument/2006/customXml" ds:itemID="{8658459E-71F9-484E-86FE-B2CF002B5822}"/>
</file>

<file path=customXml/itemProps3.xml><?xml version="1.0" encoding="utf-8"?>
<ds:datastoreItem xmlns:ds="http://schemas.openxmlformats.org/officeDocument/2006/customXml" ds:itemID="{953CE4E0-6EBA-4807-9939-C4262AD571B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Notes and disclaimer</vt:lpstr>
      <vt:lpstr>1WS </vt:lpstr>
      <vt:lpstr>2WS</vt:lpstr>
      <vt:lpstr>3WS</vt:lpstr>
      <vt:lpstr>4WS</vt:lpstr>
      <vt:lpstr>'2WS'!correl</vt:lpstr>
      <vt:lpstr>'2WS'!correl0.5</vt:lpstr>
      <vt:lpstr>'1WS '!CVaRA</vt:lpstr>
      <vt:lpstr>'2WS'!CVaRA</vt:lpstr>
      <vt:lpstr>'1WS '!CVaRB</vt:lpstr>
      <vt:lpstr>'2WS'!CVaRB</vt:lpstr>
      <vt:lpstr>'1WS '!muA</vt:lpstr>
      <vt:lpstr>'2WS'!muA</vt:lpstr>
      <vt:lpstr>'1WS '!muB</vt:lpstr>
      <vt:lpstr>'2WS'!muB</vt:lpstr>
      <vt:lpstr>'1WS '!sigmaA</vt:lpstr>
      <vt:lpstr>'2WS'!sigmaA</vt:lpstr>
      <vt:lpstr>'1WS '!sigmaB</vt:lpstr>
      <vt:lpstr>'2WS'!sigmaB</vt:lpstr>
      <vt:lpstr>'2WS'!SlideTwo</vt:lpstr>
      <vt:lpstr>'1WS '!VaR_Threshold</vt:lpstr>
      <vt:lpstr>'2WS'!VaR_Threshold</vt:lpstr>
      <vt:lpstr>'1WS '!VaRA</vt:lpstr>
      <vt:lpstr>'2WS'!VaRA</vt:lpstr>
      <vt:lpstr>'1WS '!VaRB</vt:lpstr>
      <vt:lpstr>'2WS'!VaRB</vt:lpstr>
      <vt:lpstr>'2WS'!wtA</vt:lpstr>
      <vt:lpstr>'2WS'!wtB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Ramirez, Charlie (nee Nash)</dc:creator>
  <cp:lastModifiedBy>Charlie Nash</cp:lastModifiedBy>
  <dcterms:created xsi:type="dcterms:W3CDTF">2021-06-08T10:35:38Z</dcterms:created>
  <dcterms:modified xsi:type="dcterms:W3CDTF">2024-10-13T20:34:13Z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0x0101000A68072A6084CD4F91BAAE6C620D7BEF</vt:lpwstr>
  </property>
</Properties>
</file>