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CB Workshop\"/>
    </mc:Choice>
  </mc:AlternateContent>
  <xr:revisionPtr revIDLastSave="0" documentId="8_{6673E907-4EE7-4E4B-9549-93950FD606C7}" xr6:coauthVersionLast="47" xr6:coauthVersionMax="47" xr10:uidLastSave="{00000000-0000-0000-0000-000000000000}"/>
  <bookViews>
    <workbookView xWindow="-103" yWindow="-103" windowWidth="22149" windowHeight="11829" tabRatio="708" activeTab="5" xr2:uid="{49E8BFC1-333E-4F93-8BC4-42066A10F358}"/>
  </bookViews>
  <sheets>
    <sheet name="Attribution" sheetId="2" r:id="rId1"/>
    <sheet name="Off-benchmark bets" sheetId="1" r:id="rId2"/>
    <sheet name="Attribution SOLN" sheetId="9" r:id="rId3"/>
    <sheet name="Off-bmark SOLN" sheetId="10" r:id="rId4"/>
    <sheet name="Benchmark" sheetId="5" r:id="rId5"/>
    <sheet name="Portfolio" sheetId="4" r:id="rId6"/>
    <sheet name="Attributing your portfolio" sheetId="3" r:id="rId7"/>
    <sheet name="Returns" sheetId="8" state="veryHidden" r:id="rId8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1" i="4" l="1"/>
  <c r="G7" i="10" l="1"/>
  <c r="G8" i="10"/>
  <c r="G6" i="10"/>
  <c r="G5" i="10"/>
  <c r="H5" i="10"/>
  <c r="H8" i="10"/>
  <c r="H7" i="10"/>
  <c r="H6" i="10"/>
  <c r="G15" i="9"/>
  <c r="G14" i="9"/>
  <c r="G13" i="9"/>
  <c r="E7" i="9"/>
  <c r="E6" i="9"/>
  <c r="E5" i="9"/>
  <c r="F9" i="10"/>
  <c r="E9" i="10"/>
  <c r="D9" i="10" a="1"/>
  <c r="D9" i="10" s="1"/>
  <c r="C9" i="10"/>
  <c r="F48" i="9"/>
  <c r="E48" i="9"/>
  <c r="D48" i="9"/>
  <c r="C48" i="9"/>
  <c r="H47" i="9"/>
  <c r="I48" i="9" s="1"/>
  <c r="G47" i="9"/>
  <c r="G48" i="9" s="1"/>
  <c r="H46" i="9"/>
  <c r="G46" i="9"/>
  <c r="H45" i="9"/>
  <c r="G45" i="9"/>
  <c r="H44" i="9"/>
  <c r="G44" i="9"/>
  <c r="I37" i="9"/>
  <c r="F37" i="9"/>
  <c r="E37" i="9"/>
  <c r="D37" i="9"/>
  <c r="C37" i="9"/>
  <c r="H36" i="9"/>
  <c r="H37" i="9" s="1"/>
  <c r="G36" i="9"/>
  <c r="G37" i="9" s="1"/>
  <c r="H35" i="9"/>
  <c r="G35" i="9"/>
  <c r="H34" i="9"/>
  <c r="G34" i="9"/>
  <c r="H33" i="9"/>
  <c r="G33" i="9"/>
  <c r="F26" i="9"/>
  <c r="E26" i="9"/>
  <c r="D26" i="9"/>
  <c r="C26" i="9"/>
  <c r="G25" i="9"/>
  <c r="H26" i="9" s="1"/>
  <c r="G24" i="9"/>
  <c r="G23" i="9"/>
  <c r="H16" i="9"/>
  <c r="G16" i="9"/>
  <c r="F16" i="9"/>
  <c r="E16" i="9"/>
  <c r="D16" i="9"/>
  <c r="C16" i="9"/>
  <c r="F8" i="9"/>
  <c r="E8" i="9"/>
  <c r="C8" i="9"/>
  <c r="D9" i="1" a="1"/>
  <c r="D9" i="1" s="1"/>
  <c r="F8" i="2"/>
  <c r="E8" i="2"/>
  <c r="I37" i="2"/>
  <c r="A1" i="5"/>
  <c r="F27" i="3"/>
  <c r="F26" i="3"/>
  <c r="C3" i="4"/>
  <c r="F12" i="3"/>
  <c r="G9" i="10" l="1"/>
  <c r="I9" i="10"/>
  <c r="H9" i="10"/>
  <c r="G26" i="9"/>
  <c r="H48" i="9"/>
  <c r="G26" i="3"/>
  <c r="G12" i="3"/>
  <c r="F16" i="3" l="1"/>
  <c r="G16" i="3" s="1"/>
  <c r="F9" i="3"/>
  <c r="G9" i="3" s="1"/>
  <c r="P30" i="5"/>
  <c r="P29" i="5"/>
  <c r="P28" i="5"/>
  <c r="P27" i="5"/>
  <c r="P26" i="5"/>
  <c r="P25" i="5"/>
  <c r="P24" i="5"/>
  <c r="P23" i="5"/>
  <c r="P22" i="5"/>
  <c r="P21" i="5"/>
  <c r="P20" i="5"/>
  <c r="P19" i="5"/>
  <c r="P18" i="5"/>
  <c r="P17" i="5"/>
  <c r="P16" i="5"/>
  <c r="P15" i="5"/>
  <c r="P14" i="5"/>
  <c r="P13" i="5"/>
  <c r="P12" i="5"/>
  <c r="P11" i="5"/>
  <c r="P10" i="5"/>
  <c r="P9" i="5"/>
  <c r="P8" i="5"/>
  <c r="P7" i="5"/>
  <c r="P6" i="5"/>
  <c r="P5" i="5"/>
  <c r="P4" i="5"/>
  <c r="P3" i="5"/>
  <c r="P23" i="4"/>
  <c r="H28" i="5" l="1"/>
  <c r="J28" i="5" s="1"/>
  <c r="H9" i="5"/>
  <c r="J9" i="5" s="1"/>
  <c r="H13" i="5"/>
  <c r="H21" i="5"/>
  <c r="H3" i="5"/>
  <c r="F3" i="3" s="1"/>
  <c r="H7" i="5"/>
  <c r="H11" i="5"/>
  <c r="H15" i="5"/>
  <c r="H19" i="5"/>
  <c r="H24" i="5"/>
  <c r="H4" i="5"/>
  <c r="J4" i="5" s="1"/>
  <c r="H8" i="5"/>
  <c r="H12" i="5"/>
  <c r="J12" i="5" s="1"/>
  <c r="H16" i="5"/>
  <c r="J16" i="5" s="1"/>
  <c r="H20" i="5"/>
  <c r="H29" i="5"/>
  <c r="H25" i="5"/>
  <c r="V21" i="4" s="1"/>
  <c r="H27" i="5"/>
  <c r="V23" i="4" s="1"/>
  <c r="H5" i="5"/>
  <c r="H17" i="5"/>
  <c r="R17" i="5" s="1"/>
  <c r="H26" i="5"/>
  <c r="F23" i="3" s="1"/>
  <c r="H30" i="5"/>
  <c r="J30" i="5" s="1"/>
  <c r="H6" i="5"/>
  <c r="J6" i="5" s="1"/>
  <c r="H10" i="5"/>
  <c r="J10" i="5" s="1"/>
  <c r="H14" i="5"/>
  <c r="J14" i="5" s="1"/>
  <c r="H18" i="5"/>
  <c r="H22" i="5"/>
  <c r="J22" i="5" s="1"/>
  <c r="H23" i="5"/>
  <c r="V15" i="4"/>
  <c r="R9" i="5"/>
  <c r="R12" i="5" l="1"/>
  <c r="R28" i="5"/>
  <c r="V20" i="4"/>
  <c r="V22" i="4"/>
  <c r="J26" i="5"/>
  <c r="W6" i="4"/>
  <c r="F4" i="3"/>
  <c r="R14" i="5"/>
  <c r="H1" i="5"/>
  <c r="R25" i="5"/>
  <c r="F10" i="3"/>
  <c r="V18" i="4"/>
  <c r="R6" i="5"/>
  <c r="F11" i="3"/>
  <c r="W5" i="4"/>
  <c r="W4" i="4"/>
  <c r="R18" i="5"/>
  <c r="W7" i="4"/>
  <c r="L1" i="5"/>
  <c r="R26" i="5"/>
  <c r="G23" i="3" s="1"/>
  <c r="I1" i="5"/>
  <c r="R4" i="5"/>
  <c r="F5" i="3"/>
  <c r="F19" i="3"/>
  <c r="J18" i="5"/>
  <c r="R27" i="5"/>
  <c r="J27" i="5"/>
  <c r="F24" i="3"/>
  <c r="R24" i="5"/>
  <c r="J24" i="5"/>
  <c r="P22" i="4"/>
  <c r="V19" i="4"/>
  <c r="R16" i="5"/>
  <c r="F22" i="3"/>
  <c r="J25" i="5"/>
  <c r="J19" i="5"/>
  <c r="R19" i="5"/>
  <c r="R20" i="5"/>
  <c r="R29" i="5"/>
  <c r="V24" i="4"/>
  <c r="F25" i="3"/>
  <c r="J29" i="5"/>
  <c r="J15" i="5"/>
  <c r="R15" i="5"/>
  <c r="F20" i="3"/>
  <c r="J20" i="5"/>
  <c r="R11" i="5"/>
  <c r="J11" i="5"/>
  <c r="J7" i="5"/>
  <c r="R7" i="5"/>
  <c r="P21" i="4"/>
  <c r="V16" i="4"/>
  <c r="R10" i="5"/>
  <c r="J3" i="5"/>
  <c r="F17" i="3"/>
  <c r="R3" i="5"/>
  <c r="G3" i="3" s="1"/>
  <c r="Q1" i="5"/>
  <c r="L18" i="4" s="1"/>
  <c r="K1" i="5"/>
  <c r="V17" i="4"/>
  <c r="R22" i="5"/>
  <c r="J23" i="5"/>
  <c r="R23" i="5"/>
  <c r="F18" i="3"/>
  <c r="J17" i="5"/>
  <c r="R8" i="5"/>
  <c r="J8" i="5"/>
  <c r="R21" i="5"/>
  <c r="J21" i="5"/>
  <c r="F21" i="3"/>
  <c r="R30" i="5"/>
  <c r="J5" i="5"/>
  <c r="R5" i="5"/>
  <c r="R13" i="5"/>
  <c r="J13" i="5"/>
  <c r="G19" i="3" l="1"/>
  <c r="G25" i="3"/>
  <c r="G22" i="3"/>
  <c r="G4" i="3"/>
  <c r="G21" i="3"/>
  <c r="G11" i="3"/>
  <c r="G17" i="3"/>
  <c r="G5" i="3"/>
  <c r="G10" i="3"/>
  <c r="G18" i="3"/>
  <c r="G24" i="3"/>
  <c r="G20" i="3"/>
  <c r="G27" i="3" l="1"/>
  <c r="P9" i="4"/>
  <c r="P8" i="4"/>
  <c r="P7" i="4"/>
  <c r="P6" i="4" l="1"/>
  <c r="B3" i="5" l="1"/>
  <c r="F13" i="3"/>
  <c r="F6" i="3"/>
  <c r="B4" i="5" l="1"/>
  <c r="G13" i="3"/>
  <c r="G6" i="3"/>
  <c r="F48" i="2"/>
  <c r="E48" i="2"/>
  <c r="D48" i="2"/>
  <c r="C48" i="2"/>
  <c r="F37" i="2"/>
  <c r="E37" i="2"/>
  <c r="D37" i="2"/>
  <c r="C37" i="2"/>
  <c r="H37" i="2"/>
  <c r="G37" i="2"/>
  <c r="G26" i="2"/>
  <c r="F26" i="2"/>
  <c r="E26" i="2"/>
  <c r="D26" i="2"/>
  <c r="C26" i="2"/>
  <c r="H26" i="2"/>
  <c r="F16" i="2"/>
  <c r="E16" i="2"/>
  <c r="D16" i="2"/>
  <c r="C16" i="2"/>
  <c r="G16" i="2"/>
  <c r="H16" i="2"/>
  <c r="C8" i="2"/>
  <c r="I9" i="1"/>
  <c r="H9" i="1"/>
  <c r="G9" i="1"/>
  <c r="F9" i="1"/>
  <c r="E9" i="1"/>
  <c r="C9" i="1"/>
  <c r="B5" i="5" l="1"/>
  <c r="I48" i="2"/>
  <c r="H48" i="2"/>
  <c r="B6" i="5" l="1"/>
  <c r="G48" i="2"/>
  <c r="B8" i="5" l="1"/>
  <c r="B7" i="5"/>
  <c r="B9" i="5" l="1"/>
  <c r="B10" i="5"/>
  <c r="B11" i="5"/>
  <c r="B12" i="5"/>
  <c r="B13" i="5" l="1"/>
  <c r="G5" i="4"/>
  <c r="J5" i="4"/>
  <c r="I5" i="4"/>
  <c r="B14" i="5" l="1"/>
  <c r="B15" i="5"/>
  <c r="B16" i="5" l="1"/>
  <c r="B17" i="5" l="1"/>
  <c r="B18" i="5" l="1"/>
  <c r="B19" i="5" l="1"/>
  <c r="B20" i="5" l="1"/>
  <c r="B21" i="5" l="1"/>
  <c r="B22" i="5" l="1"/>
  <c r="B23" i="5" l="1"/>
  <c r="B24" i="5" l="1"/>
  <c r="B25" i="5" l="1"/>
  <c r="B26" i="5" s="1"/>
  <c r="B27" i="5" s="1"/>
  <c r="B28" i="5" l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B40" i="5" s="1"/>
  <c r="B41" i="5" s="1"/>
  <c r="B42" i="5" s="1"/>
  <c r="B43" i="5" s="1"/>
  <c r="B44" i="5" s="1"/>
  <c r="B45" i="5" s="1"/>
  <c r="B46" i="5" s="1"/>
  <c r="B47" i="5" s="1"/>
  <c r="B48" i="5" s="1"/>
  <c r="B49" i="5" s="1"/>
  <c r="B50" i="5" s="1"/>
  <c r="B51" i="5" s="1"/>
  <c r="B52" i="5" s="1"/>
  <c r="B53" i="5" s="1"/>
  <c r="B54" i="5" s="1"/>
  <c r="B55" i="5" s="1"/>
  <c r="B56" i="5" s="1"/>
  <c r="B57" i="5" s="1"/>
  <c r="B58" i="5" s="1"/>
  <c r="B59" i="5" s="1"/>
  <c r="B60" i="5" s="1"/>
  <c r="B61" i="5" s="1"/>
  <c r="B62" i="5" s="1"/>
  <c r="B63" i="5" s="1"/>
  <c r="B64" i="5" s="1"/>
  <c r="B65" i="5" s="1"/>
  <c r="B66" i="5" s="1"/>
  <c r="B67" i="5" s="1"/>
  <c r="B68" i="5" s="1"/>
  <c r="B69" i="5" s="1"/>
  <c r="B70" i="5" s="1"/>
  <c r="B71" i="5" s="1"/>
  <c r="B72" i="5" s="1"/>
  <c r="B73" i="5" s="1"/>
  <c r="B74" i="5" s="1"/>
  <c r="B75" i="5" s="1"/>
  <c r="B76" i="5" s="1"/>
  <c r="B77" i="5" s="1"/>
  <c r="B78" i="5" s="1"/>
  <c r="B79" i="5" s="1"/>
  <c r="B80" i="5" s="1"/>
  <c r="B81" i="5" s="1"/>
  <c r="B82" i="5" s="1"/>
  <c r="B83" i="5" s="1"/>
  <c r="B84" i="5" s="1"/>
  <c r="B85" i="5" s="1"/>
  <c r="B86" i="5" s="1"/>
  <c r="B87" i="5" s="1"/>
  <c r="B88" i="5" s="1"/>
  <c r="B89" i="5" s="1"/>
  <c r="B90" i="5" s="1"/>
  <c r="B91" i="5" s="1"/>
  <c r="B92" i="5" s="1"/>
  <c r="B93" i="5" s="1"/>
  <c r="B94" i="5" s="1"/>
  <c r="B95" i="5" s="1"/>
  <c r="B96" i="5" s="1"/>
  <c r="B97" i="5" s="1"/>
  <c r="B98" i="5" s="1"/>
  <c r="B99" i="5" s="1"/>
  <c r="B100" i="5" s="1"/>
  <c r="B101" i="5" s="1"/>
  <c r="B102" i="5" s="1"/>
  <c r="B103" i="5" s="1"/>
  <c r="B104" i="5" s="1"/>
  <c r="B105" i="5" s="1"/>
  <c r="B106" i="5" s="1"/>
  <c r="B107" i="5" s="1"/>
  <c r="B108" i="5" s="1"/>
  <c r="B109" i="5" s="1"/>
  <c r="B110" i="5" s="1"/>
  <c r="B111" i="5" s="1"/>
  <c r="B112" i="5" s="1"/>
  <c r="B113" i="5" s="1"/>
  <c r="B114" i="5" s="1"/>
  <c r="B115" i="5" s="1"/>
  <c r="B116" i="5" s="1"/>
  <c r="B117" i="5" s="1"/>
  <c r="B118" i="5" s="1"/>
  <c r="B119" i="5" s="1"/>
  <c r="B120" i="5" s="1"/>
  <c r="B121" i="5" s="1"/>
  <c r="B122" i="5" s="1"/>
  <c r="B123" i="5" s="1"/>
  <c r="B124" i="5" s="1"/>
  <c r="B125" i="5" s="1"/>
  <c r="B126" i="5" s="1"/>
  <c r="B127" i="5" s="1"/>
  <c r="B128" i="5" s="1"/>
  <c r="B129" i="5" s="1"/>
  <c r="B130" i="5" s="1"/>
  <c r="B131" i="5" s="1"/>
  <c r="B132" i="5" s="1"/>
  <c r="B133" i="5" s="1"/>
  <c r="B134" i="5" s="1"/>
  <c r="B135" i="5" s="1"/>
  <c r="B136" i="5" s="1"/>
  <c r="B137" i="5" s="1"/>
  <c r="B138" i="5" s="1"/>
  <c r="B139" i="5" s="1"/>
  <c r="B140" i="5" s="1"/>
  <c r="B141" i="5" s="1"/>
  <c r="B142" i="5" s="1"/>
  <c r="B143" i="5" s="1"/>
  <c r="B144" i="5" s="1"/>
  <c r="B145" i="5" s="1"/>
  <c r="B146" i="5" s="1"/>
  <c r="B147" i="5" s="1"/>
  <c r="B148" i="5" s="1"/>
  <c r="B149" i="5" s="1"/>
  <c r="B150" i="5" s="1"/>
  <c r="B151" i="5" s="1"/>
  <c r="B152" i="5" s="1"/>
  <c r="B153" i="5" s="1"/>
  <c r="B154" i="5" s="1"/>
  <c r="B155" i="5" s="1"/>
  <c r="B156" i="5" s="1"/>
  <c r="B157" i="5" s="1"/>
  <c r="B158" i="5" s="1"/>
  <c r="B159" i="5" s="1"/>
  <c r="B160" i="5" s="1"/>
  <c r="B161" i="5" s="1"/>
  <c r="B162" i="5" s="1"/>
  <c r="B163" i="5" s="1"/>
  <c r="B164" i="5" s="1"/>
  <c r="B165" i="5" s="1"/>
  <c r="B166" i="5" s="1"/>
  <c r="B167" i="5" s="1"/>
  <c r="B168" i="5" s="1"/>
  <c r="B169" i="5" s="1"/>
  <c r="B170" i="5" s="1"/>
  <c r="B171" i="5" s="1"/>
  <c r="B172" i="5" s="1"/>
  <c r="B173" i="5" s="1"/>
  <c r="B174" i="5" s="1"/>
  <c r="B175" i="5" s="1"/>
  <c r="B176" i="5" s="1"/>
  <c r="B177" i="5" s="1"/>
  <c r="B178" i="5" s="1"/>
  <c r="B179" i="5" s="1"/>
  <c r="B180" i="5" s="1"/>
  <c r="B181" i="5" s="1"/>
  <c r="B182" i="5" s="1"/>
  <c r="B183" i="5" s="1"/>
  <c r="B184" i="5" s="1"/>
  <c r="B185" i="5" s="1"/>
  <c r="B186" i="5" s="1"/>
  <c r="B187" i="5" s="1"/>
  <c r="B188" i="5" s="1"/>
  <c r="B189" i="5" s="1"/>
  <c r="B190" i="5" s="1"/>
  <c r="B191" i="5" s="1"/>
  <c r="B192" i="5" s="1"/>
  <c r="B193" i="5" s="1"/>
  <c r="B194" i="5" s="1"/>
  <c r="B195" i="5" s="1"/>
  <c r="B196" i="5" s="1"/>
  <c r="B197" i="5" s="1"/>
  <c r="B198" i="5" s="1"/>
  <c r="B199" i="5" s="1"/>
  <c r="B200" i="5" s="1"/>
  <c r="B201" i="5" s="1"/>
  <c r="B202" i="5" s="1"/>
  <c r="B203" i="5" s="1"/>
  <c r="B204" i="5" s="1"/>
  <c r="B205" i="5" s="1"/>
  <c r="B206" i="5" s="1"/>
  <c r="B207" i="5" s="1"/>
  <c r="B208" i="5" s="1"/>
  <c r="B209" i="5" s="1"/>
  <c r="B210" i="5" s="1"/>
  <c r="B211" i="5" s="1"/>
  <c r="B212" i="5" s="1"/>
  <c r="B213" i="5" s="1"/>
  <c r="B214" i="5" s="1"/>
  <c r="B215" i="5" s="1"/>
  <c r="B216" i="5" s="1"/>
  <c r="B217" i="5" s="1"/>
  <c r="B218" i="5" s="1"/>
  <c r="B219" i="5" s="1"/>
  <c r="B220" i="5" s="1"/>
  <c r="B221" i="5" s="1"/>
  <c r="B222" i="5" s="1"/>
  <c r="B223" i="5" s="1"/>
  <c r="B224" i="5" s="1"/>
  <c r="B225" i="5" s="1"/>
  <c r="B226" i="5" s="1"/>
  <c r="B227" i="5" s="1"/>
  <c r="B228" i="5" s="1"/>
  <c r="B229" i="5" s="1"/>
  <c r="B230" i="5" s="1"/>
  <c r="B231" i="5" s="1"/>
  <c r="B232" i="5" s="1"/>
  <c r="B233" i="5" s="1"/>
  <c r="B234" i="5" s="1"/>
  <c r="B235" i="5" s="1"/>
  <c r="B236" i="5" s="1"/>
  <c r="B237" i="5" s="1"/>
  <c r="B238" i="5" s="1"/>
  <c r="B239" i="5" s="1"/>
  <c r="B240" i="5" s="1"/>
  <c r="B241" i="5" s="1"/>
  <c r="B242" i="5" s="1"/>
  <c r="B243" i="5" s="1"/>
  <c r="B244" i="5" s="1"/>
  <c r="B245" i="5" s="1"/>
  <c r="B246" i="5" s="1"/>
  <c r="B247" i="5" s="1"/>
  <c r="B248" i="5" s="1"/>
  <c r="B249" i="5" s="1"/>
  <c r="B250" i="5" s="1"/>
  <c r="B251" i="5" s="1"/>
  <c r="B252" i="5" s="1"/>
  <c r="B253" i="5" s="1"/>
  <c r="B254" i="5" s="1"/>
  <c r="B255" i="5" s="1"/>
  <c r="B256" i="5" s="1"/>
  <c r="B257" i="5" s="1"/>
  <c r="B258" i="5" s="1"/>
  <c r="B259" i="5" s="1"/>
  <c r="B260" i="5" s="1"/>
  <c r="B261" i="5" s="1"/>
  <c r="B262" i="5" s="1"/>
  <c r="B263" i="5" s="1"/>
  <c r="B264" i="5" s="1"/>
  <c r="B265" i="5" s="1"/>
  <c r="B266" i="5" s="1"/>
  <c r="B267" i="5" s="1"/>
  <c r="B268" i="5" s="1"/>
  <c r="B269" i="5" s="1"/>
  <c r="B270" i="5" s="1"/>
  <c r="B271" i="5" s="1"/>
  <c r="B272" i="5" s="1"/>
  <c r="B273" i="5" s="1"/>
  <c r="B274" i="5" s="1"/>
  <c r="B275" i="5" s="1"/>
  <c r="B276" i="5" s="1"/>
  <c r="B277" i="5" s="1"/>
  <c r="B278" i="5" s="1"/>
  <c r="B279" i="5" s="1"/>
  <c r="B280" i="5" s="1"/>
  <c r="B281" i="5" s="1"/>
  <c r="B282" i="5" s="1"/>
  <c r="B283" i="5" s="1"/>
  <c r="B284" i="5" s="1"/>
  <c r="B285" i="5" s="1"/>
  <c r="B286" i="5" s="1"/>
  <c r="B287" i="5" s="1"/>
  <c r="B288" i="5" s="1"/>
  <c r="B289" i="5" s="1"/>
  <c r="B290" i="5" s="1"/>
  <c r="B291" i="5" s="1"/>
  <c r="B292" i="5" s="1"/>
  <c r="B293" i="5" s="1"/>
  <c r="B294" i="5" s="1"/>
  <c r="B295" i="5" s="1"/>
  <c r="B296" i="5" s="1"/>
  <c r="B297" i="5" s="1"/>
  <c r="B298" i="5" s="1"/>
  <c r="B299" i="5" s="1"/>
  <c r="B300" i="5" s="1"/>
  <c r="B301" i="5" s="1"/>
  <c r="B302" i="5" s="1"/>
  <c r="B303" i="5" s="1"/>
  <c r="B304" i="5" s="1"/>
  <c r="B305" i="5" s="1"/>
  <c r="B306" i="5" s="1"/>
  <c r="B307" i="5" s="1"/>
  <c r="B308" i="5" s="1"/>
  <c r="B309" i="5" s="1"/>
  <c r="B310" i="5" s="1"/>
  <c r="B311" i="5" s="1"/>
  <c r="B312" i="5" s="1"/>
  <c r="B313" i="5" s="1"/>
  <c r="B314" i="5" s="1"/>
  <c r="B315" i="5" s="1"/>
  <c r="B316" i="5" s="1"/>
  <c r="B317" i="5" s="1"/>
  <c r="B318" i="5" s="1"/>
  <c r="B319" i="5" s="1"/>
  <c r="B320" i="5" s="1"/>
  <c r="B321" i="5" s="1"/>
  <c r="B322" i="5" s="1"/>
  <c r="B323" i="5" s="1"/>
  <c r="B324" i="5" s="1"/>
  <c r="B325" i="5" s="1"/>
  <c r="B326" i="5" s="1"/>
  <c r="B327" i="5" s="1"/>
  <c r="B328" i="5" s="1"/>
  <c r="B329" i="5" s="1"/>
  <c r="B330" i="5" s="1"/>
  <c r="B331" i="5" s="1"/>
  <c r="B332" i="5" s="1"/>
  <c r="B333" i="5" s="1"/>
  <c r="B334" i="5" s="1"/>
  <c r="B335" i="5" s="1"/>
  <c r="B336" i="5" s="1"/>
  <c r="B337" i="5" s="1"/>
  <c r="B338" i="5" s="1"/>
  <c r="B339" i="5" s="1"/>
  <c r="B340" i="5" s="1"/>
  <c r="B341" i="5" s="1"/>
  <c r="B342" i="5" s="1"/>
  <c r="B343" i="5" s="1"/>
  <c r="B344" i="5" s="1"/>
  <c r="B345" i="5" s="1"/>
  <c r="B346" i="5" s="1"/>
  <c r="B347" i="5" s="1"/>
  <c r="B348" i="5" s="1"/>
  <c r="B349" i="5" s="1"/>
  <c r="B350" i="5" s="1"/>
  <c r="B351" i="5" s="1"/>
  <c r="B352" i="5" s="1"/>
  <c r="B353" i="5" s="1"/>
  <c r="B354" i="5" s="1"/>
  <c r="B355" i="5" s="1"/>
  <c r="B356" i="5" s="1"/>
  <c r="B357" i="5" s="1"/>
  <c r="B358" i="5" s="1"/>
  <c r="B359" i="5" s="1"/>
  <c r="B360" i="5" s="1"/>
  <c r="B361" i="5" s="1"/>
  <c r="B362" i="5" s="1"/>
  <c r="B363" i="5" s="1"/>
  <c r="B364" i="5" s="1"/>
  <c r="B365" i="5" s="1"/>
  <c r="B366" i="5" s="1"/>
  <c r="B367" i="5" s="1"/>
  <c r="B368" i="5" s="1"/>
  <c r="B369" i="5" s="1"/>
  <c r="B370" i="5" s="1"/>
  <c r="B371" i="5" s="1"/>
  <c r="B372" i="5" s="1"/>
  <c r="B373" i="5" s="1"/>
  <c r="B374" i="5" s="1"/>
  <c r="B375" i="5" s="1"/>
  <c r="B376" i="5" s="1"/>
  <c r="B377" i="5" s="1"/>
  <c r="B378" i="5" s="1"/>
  <c r="B379" i="5" s="1"/>
  <c r="B380" i="5" s="1"/>
  <c r="B381" i="5" s="1"/>
  <c r="B382" i="5" s="1"/>
  <c r="B383" i="5" s="1"/>
  <c r="B384" i="5" s="1"/>
  <c r="B385" i="5" s="1"/>
  <c r="B386" i="5" s="1"/>
  <c r="B387" i="5" s="1"/>
  <c r="B388" i="5" s="1"/>
  <c r="B389" i="5" s="1"/>
  <c r="B390" i="5" s="1"/>
  <c r="B391" i="5" s="1"/>
  <c r="B392" i="5" s="1"/>
  <c r="B393" i="5" s="1"/>
  <c r="B394" i="5" s="1"/>
  <c r="B395" i="5" s="1"/>
  <c r="B396" i="5" s="1"/>
  <c r="B397" i="5" s="1"/>
  <c r="B398" i="5" s="1"/>
  <c r="B399" i="5" s="1"/>
  <c r="B400" i="5" s="1"/>
  <c r="B401" i="5" s="1"/>
  <c r="B402" i="5" s="1"/>
  <c r="B403" i="5" s="1"/>
  <c r="B404" i="5" s="1"/>
  <c r="B405" i="5" s="1"/>
  <c r="B406" i="5" s="1"/>
  <c r="B407" i="5" s="1"/>
  <c r="B408" i="5" s="1"/>
  <c r="B409" i="5" s="1"/>
  <c r="B410" i="5" s="1"/>
  <c r="B411" i="5" s="1"/>
  <c r="B412" i="5" s="1"/>
  <c r="B413" i="5" s="1"/>
  <c r="B414" i="5" s="1"/>
  <c r="B415" i="5" s="1"/>
  <c r="B416" i="5" s="1"/>
  <c r="B417" i="5" s="1"/>
  <c r="B418" i="5" s="1"/>
  <c r="B419" i="5" s="1"/>
  <c r="B420" i="5" s="1"/>
  <c r="B421" i="5" s="1"/>
  <c r="B422" i="5" s="1"/>
  <c r="B423" i="5" s="1"/>
  <c r="B424" i="5" s="1"/>
  <c r="B425" i="5" s="1"/>
  <c r="B426" i="5" s="1"/>
  <c r="B427" i="5" s="1"/>
  <c r="B428" i="5" s="1"/>
  <c r="B429" i="5" s="1"/>
  <c r="B430" i="5" s="1"/>
  <c r="B431" i="5" s="1"/>
  <c r="B432" i="5" s="1"/>
  <c r="B433" i="5" s="1"/>
  <c r="B434" i="5" s="1"/>
  <c r="B435" i="5" s="1"/>
  <c r="B436" i="5" s="1"/>
  <c r="B437" i="5" s="1"/>
  <c r="B438" i="5" s="1"/>
  <c r="B439" i="5" s="1"/>
  <c r="B440" i="5" s="1"/>
  <c r="B441" i="5" s="1"/>
  <c r="B442" i="5" s="1"/>
  <c r="B443" i="5" s="1"/>
  <c r="B444" i="5" s="1"/>
  <c r="B445" i="5" s="1"/>
  <c r="B446" i="5" s="1"/>
  <c r="B447" i="5" s="1"/>
  <c r="B448" i="5" s="1"/>
  <c r="B449" i="5" s="1"/>
  <c r="B450" i="5" s="1"/>
  <c r="B451" i="5" s="1"/>
  <c r="B452" i="5" s="1"/>
  <c r="B453" i="5" s="1"/>
  <c r="B454" i="5" s="1"/>
  <c r="B455" i="5" s="1"/>
  <c r="B456" i="5" s="1"/>
  <c r="B457" i="5" s="1"/>
  <c r="B458" i="5" s="1"/>
  <c r="B459" i="5" s="1"/>
  <c r="B460" i="5" s="1"/>
  <c r="B461" i="5" s="1"/>
  <c r="B462" i="5" s="1"/>
  <c r="B463" i="5" s="1"/>
  <c r="B464" i="5" s="1"/>
  <c r="B465" i="5" s="1"/>
  <c r="B466" i="5" s="1"/>
  <c r="B467" i="5" s="1"/>
  <c r="B468" i="5" s="1"/>
  <c r="B469" i="5" s="1"/>
  <c r="B470" i="5" s="1"/>
  <c r="B471" i="5" s="1"/>
  <c r="B472" i="5" s="1"/>
  <c r="B473" i="5" s="1"/>
  <c r="B474" i="5" s="1"/>
  <c r="B475" i="5" s="1"/>
  <c r="B476" i="5" s="1"/>
  <c r="B477" i="5" s="1"/>
  <c r="B478" i="5" s="1"/>
  <c r="B479" i="5" s="1"/>
  <c r="B480" i="5" s="1"/>
  <c r="B6" i="4" s="1"/>
  <c r="E6" i="4" l="1"/>
  <c r="H6" i="4"/>
  <c r="L6" i="4"/>
  <c r="F6" i="4"/>
  <c r="K6" i="4"/>
  <c r="D6" i="4"/>
  <c r="B15" i="4"/>
  <c r="B14" i="4"/>
  <c r="B11" i="4"/>
  <c r="B9" i="4"/>
  <c r="B10" i="4"/>
  <c r="B7" i="4"/>
  <c r="B8" i="4"/>
  <c r="B12" i="4"/>
  <c r="B13" i="4"/>
  <c r="J15" i="4"/>
  <c r="J6" i="4"/>
  <c r="J8" i="4"/>
  <c r="J9" i="4"/>
  <c r="J10" i="4"/>
  <c r="J13" i="4"/>
  <c r="J7" i="4"/>
  <c r="J12" i="4"/>
  <c r="J11" i="4"/>
  <c r="J14" i="4"/>
  <c r="L13" i="4" l="1"/>
  <c r="D13" i="4"/>
  <c r="K13" i="4"/>
  <c r="E13" i="4"/>
  <c r="H13" i="4"/>
  <c r="I13" i="4" s="1"/>
  <c r="F13" i="4"/>
  <c r="G13" i="4" s="1"/>
  <c r="L12" i="4"/>
  <c r="D12" i="4"/>
  <c r="F12" i="4"/>
  <c r="G12" i="4" s="1"/>
  <c r="H12" i="4"/>
  <c r="I12" i="4" s="1"/>
  <c r="K12" i="4"/>
  <c r="E12" i="4"/>
  <c r="H8" i="4"/>
  <c r="I8" i="4" s="1"/>
  <c r="L8" i="4"/>
  <c r="D8" i="4"/>
  <c r="K8" i="4"/>
  <c r="F8" i="4"/>
  <c r="G8" i="4" s="1"/>
  <c r="E8" i="4"/>
  <c r="E7" i="4"/>
  <c r="H7" i="4"/>
  <c r="I7" i="4" s="1"/>
  <c r="D7" i="4"/>
  <c r="F7" i="4"/>
  <c r="G7" i="4" s="1"/>
  <c r="L7" i="4"/>
  <c r="K7" i="4"/>
  <c r="H10" i="4"/>
  <c r="I10" i="4" s="1"/>
  <c r="L10" i="4"/>
  <c r="D10" i="4"/>
  <c r="F10" i="4"/>
  <c r="G10" i="4" s="1"/>
  <c r="K10" i="4"/>
  <c r="E10" i="4"/>
  <c r="H9" i="4"/>
  <c r="I9" i="4" s="1"/>
  <c r="L9" i="4"/>
  <c r="D9" i="4"/>
  <c r="F9" i="4"/>
  <c r="G9" i="4" s="1"/>
  <c r="E9" i="4"/>
  <c r="K9" i="4"/>
  <c r="H11" i="4"/>
  <c r="I11" i="4" s="1"/>
  <c r="L11" i="4"/>
  <c r="D11" i="4"/>
  <c r="F11" i="4"/>
  <c r="G11" i="4" s="1"/>
  <c r="E11" i="4"/>
  <c r="K11" i="4"/>
  <c r="L14" i="4"/>
  <c r="D14" i="4"/>
  <c r="F14" i="4"/>
  <c r="G14" i="4" s="1"/>
  <c r="K14" i="4"/>
  <c r="E14" i="4"/>
  <c r="H14" i="4"/>
  <c r="I14" i="4" s="1"/>
  <c r="L15" i="4"/>
  <c r="D15" i="4"/>
  <c r="F15" i="4"/>
  <c r="G15" i="4" s="1"/>
  <c r="K15" i="4"/>
  <c r="E15" i="4"/>
  <c r="H15" i="4"/>
  <c r="I15" i="4" s="1"/>
  <c r="O7" i="4"/>
  <c r="G6" i="4"/>
  <c r="I6" i="4"/>
  <c r="O8" i="4" s="1"/>
  <c r="U16" i="4" l="1"/>
  <c r="D10" i="3"/>
  <c r="D12" i="3"/>
  <c r="V7" i="4"/>
  <c r="L17" i="4"/>
  <c r="L19" i="4" s="1"/>
  <c r="U23" i="4"/>
  <c r="D11" i="3"/>
  <c r="O23" i="4"/>
  <c r="V5" i="4"/>
  <c r="D3" i="3"/>
  <c r="O22" i="4"/>
  <c r="H3" i="4"/>
  <c r="O6" i="4" s="1"/>
  <c r="U19" i="4"/>
  <c r="F3" i="4"/>
  <c r="D18" i="3"/>
  <c r="D17" i="3"/>
  <c r="D16" i="3"/>
  <c r="D9" i="3"/>
  <c r="U17" i="4"/>
  <c r="V8" i="4"/>
  <c r="D26" i="3"/>
  <c r="V9" i="4"/>
  <c r="U24" i="4"/>
  <c r="V4" i="4"/>
  <c r="U15" i="4"/>
  <c r="V6" i="4"/>
  <c r="U22" i="4"/>
  <c r="O21" i="4"/>
  <c r="D20" i="3"/>
  <c r="D22" i="3"/>
  <c r="U20" i="4"/>
  <c r="D24" i="3"/>
  <c r="U21" i="4"/>
  <c r="U18" i="4"/>
  <c r="D4" i="3"/>
  <c r="D5" i="3"/>
  <c r="D25" i="3"/>
  <c r="D23" i="3"/>
  <c r="D21" i="3"/>
  <c r="D19" i="3"/>
  <c r="O9" i="4"/>
  <c r="E10" i="3"/>
  <c r="E19" i="3" l="1"/>
  <c r="E24" i="3"/>
  <c r="E17" i="3"/>
  <c r="E21" i="3"/>
  <c r="E18" i="3"/>
  <c r="E11" i="3"/>
  <c r="E9" i="3"/>
  <c r="E23" i="3"/>
  <c r="E26" i="3"/>
  <c r="E25" i="3"/>
  <c r="E20" i="3"/>
  <c r="E5" i="3"/>
  <c r="E4" i="3"/>
  <c r="E12" i="3"/>
  <c r="E3" i="3"/>
  <c r="E16" i="3"/>
  <c r="D27" i="3"/>
  <c r="D6" i="3"/>
  <c r="D13" i="3"/>
  <c r="E22" i="3"/>
  <c r="H13" i="3" l="1"/>
  <c r="E13" i="3"/>
  <c r="H6" i="3"/>
  <c r="E27" i="3"/>
  <c r="H27" i="3"/>
  <c r="I6" i="3"/>
  <c r="I13" i="3"/>
  <c r="I27" i="3"/>
  <c r="E6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<sst xmlns="http://schemas.openxmlformats.org/spreadsheetml/2006/main" count="415" uniqueCount="124">
  <si>
    <t>Portfolio Weight %</t>
  </si>
  <si>
    <t>Portfolio Return %</t>
  </si>
  <si>
    <t>Contribution %</t>
  </si>
  <si>
    <t>US Treasury</t>
  </si>
  <si>
    <t>US Agency</t>
  </si>
  <si>
    <t>Regional</t>
  </si>
  <si>
    <t>Total</t>
  </si>
  <si>
    <t>Calculate the Return Attribution Allocation for the same portfolio below</t>
  </si>
  <si>
    <t>Benchmark Weight %</t>
  </si>
  <si>
    <t>Benchmark Return %</t>
  </si>
  <si>
    <t>Allocation %</t>
  </si>
  <si>
    <t>Calculate the Return Attribution Selection for the same portfolio below</t>
  </si>
  <si>
    <t>Selection %</t>
  </si>
  <si>
    <t>Calculate the Return Attribution - Allocation and Selection - for the portfolio below</t>
  </si>
  <si>
    <t>UK</t>
  </si>
  <si>
    <t>Germany</t>
  </si>
  <si>
    <t>Italy</t>
  </si>
  <si>
    <t>US</t>
  </si>
  <si>
    <t>0-1 year</t>
  </si>
  <si>
    <t>1-3 year</t>
  </si>
  <si>
    <t>4-9 year</t>
  </si>
  <si>
    <t>10+ year</t>
  </si>
  <si>
    <t>-</t>
  </si>
  <si>
    <t>Benchmark</t>
  </si>
  <si>
    <t>Description</t>
  </si>
  <si>
    <t>Security type</t>
  </si>
  <si>
    <t>Maturity Date</t>
  </si>
  <si>
    <t>Yrs to maturity</t>
  </si>
  <si>
    <t>Rating</t>
  </si>
  <si>
    <t>Mkt % Index Wght</t>
  </si>
  <si>
    <t>Duration</t>
  </si>
  <si>
    <t>CTD</t>
  </si>
  <si>
    <t>Current Coupon</t>
  </si>
  <si>
    <t>YTM</t>
  </si>
  <si>
    <t>Price</t>
  </si>
  <si>
    <t>ISO Country</t>
  </si>
  <si>
    <t>Nominal</t>
  </si>
  <si>
    <t>Mkt value</t>
  </si>
  <si>
    <t>BM CTP</t>
  </si>
  <si>
    <t>T 5% 30/09/25</t>
  </si>
  <si>
    <t>Government</t>
  </si>
  <si>
    <t>AA1</t>
  </si>
  <si>
    <t>T 4.875% 30/11/25</t>
  </si>
  <si>
    <t>T 2.625% 31/12/25</t>
  </si>
  <si>
    <t>T 4.625% 28/02/26</t>
  </si>
  <si>
    <t>T 0.75% 31/03/26</t>
  </si>
  <si>
    <t>T 1.875% 31/07/26</t>
  </si>
  <si>
    <t>T 1.625% 30/09/26</t>
  </si>
  <si>
    <t>T 1.125% 31/10/26</t>
  </si>
  <si>
    <t>T 1.75% 31/12/26</t>
  </si>
  <si>
    <t>T 1.875% 28/02/27</t>
  </si>
  <si>
    <t>T 2.75% 30/04/27</t>
  </si>
  <si>
    <t>T 2.625% 31/05/27</t>
  </si>
  <si>
    <t>T 3.25% 30/06/27</t>
  </si>
  <si>
    <t>T 2.75% 31/07/27</t>
  </si>
  <si>
    <t>EXPNLN 0.739% 29/10/25</t>
  </si>
  <si>
    <t>Corporate</t>
  </si>
  <si>
    <t>A3</t>
  </si>
  <si>
    <t>GB</t>
  </si>
  <si>
    <t>DBJJP 5.25% 30/03/26</t>
  </si>
  <si>
    <t>A2</t>
  </si>
  <si>
    <t>JP</t>
  </si>
  <si>
    <t>C 5.15% 21/05/26</t>
  </si>
  <si>
    <t>ABNANV 5.25% 26/05/26</t>
  </si>
  <si>
    <t>A1</t>
  </si>
  <si>
    <t>NL</t>
  </si>
  <si>
    <t>BMW 5.5% 06/06/26</t>
  </si>
  <si>
    <t>DE</t>
  </si>
  <si>
    <t>NWG 6.625% 22/06/26</t>
  </si>
  <si>
    <t>BPLN 2.274% 03/07/26</t>
  </si>
  <si>
    <t>MOTOPG 3.75% 16/07/26</t>
  </si>
  <si>
    <t>DNBNO 4% 17/08/26</t>
  </si>
  <si>
    <t>NO</t>
  </si>
  <si>
    <t>BMO 1% 09/09/26</t>
  </si>
  <si>
    <t>CA</t>
  </si>
  <si>
    <t>UBS 7% 30/09/26</t>
  </si>
  <si>
    <t>CH</t>
  </si>
  <si>
    <t>VW 3.375% 16/11/26</t>
  </si>
  <si>
    <t>SANTAN 1.75% 17/02/27</t>
  </si>
  <si>
    <t>ES</t>
  </si>
  <si>
    <t>TOYOTA 3.92% 28/06/27</t>
  </si>
  <si>
    <t>Off-benchmark</t>
  </si>
  <si>
    <t>IPTV - ICE BofA BBB &amp; Lower Sovereign External Debt Excluding Asia Constrained Index</t>
  </si>
  <si>
    <t>BB2</t>
  </si>
  <si>
    <t>EM</t>
  </si>
  <si>
    <t>GVQ0 - ICE BofA 1-5 Year US Treasury Index</t>
  </si>
  <si>
    <t>*average weighting of the index</t>
  </si>
  <si>
    <t>Security or index</t>
  </si>
  <si>
    <t>% allocation</t>
  </si>
  <si>
    <t>Asset class</t>
  </si>
  <si>
    <t>Return</t>
  </si>
  <si>
    <t>Maturity (yrs)</t>
  </si>
  <si>
    <t>Country</t>
  </si>
  <si>
    <t>Portfolio</t>
  </si>
  <si>
    <t>BM</t>
  </si>
  <si>
    <t>Maturity</t>
  </si>
  <si>
    <t>CASH</t>
  </si>
  <si>
    <t>Cash</t>
  </si>
  <si>
    <t>TOTAL</t>
  </si>
  <si>
    <t>0-1</t>
  </si>
  <si>
    <t>1-2</t>
  </si>
  <si>
    <t>2-3</t>
  </si>
  <si>
    <t>Equities</t>
  </si>
  <si>
    <t>Alpha</t>
  </si>
  <si>
    <t>PASSWORD:</t>
  </si>
  <si>
    <t>Govt bonds</t>
  </si>
  <si>
    <t>Corp Bonds</t>
  </si>
  <si>
    <t>Japan</t>
  </si>
  <si>
    <t>Netherlands</t>
  </si>
  <si>
    <t>Norway</t>
  </si>
  <si>
    <t>Canada</t>
  </si>
  <si>
    <t>Switzerland</t>
  </si>
  <si>
    <t>Spain</t>
  </si>
  <si>
    <t>Scenario 1 - RISK ON</t>
  </si>
  <si>
    <t>Scenario 2 - RISK OFF</t>
  </si>
  <si>
    <t>Scenario 1  - risk on. Global growth stable with risks skewed to the upside.</t>
  </si>
  <si>
    <t>Scenario 2 Risk off scenario – Global growth expectations revised downward with increased risks of severe credit downgrades expected in the sovereign and corporate space.  </t>
  </si>
  <si>
    <t xml:space="preserve">Calculate the Return Contributions on the portfolio below </t>
  </si>
  <si>
    <t>Include in portfolio?</t>
  </si>
  <si>
    <t>1m % return</t>
  </si>
  <si>
    <t>Contbn</t>
  </si>
  <si>
    <t>Perf</t>
  </si>
  <si>
    <t xml:space="preserve"> </t>
  </si>
  <si>
    <t>Emerging Mkts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</si>
</sst>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0.00_ ;[Red]\-0.00\ "/>
  </numFmts>
  <fonts count="9" x14ac:knownFonts="1">
    <font>
      <sz val="10"/>
      <name val="Arial"/>
      <family val="2"/>
    </font>
    <font>
      <sz val="12"/>
      <name val="Arial"/>
      <family val="2"/>
    </font>
    <font>
      <b/>
      <sz val="12"/>
      <color theme="0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b/>
      <sz val="14"/>
      <color theme="4"/>
      <name val="Arial"/>
      <family val="2"/>
    </font>
    <font>
      <sz val="12"/>
      <color theme="4"/>
      <name val="Arial"/>
      <family val="2"/>
    </font>
    <font>
      <b/>
      <sz val="10"/>
      <name val="Arial"/>
      <family val="2"/>
    </font>
    <font>
      <sz val="11"/>
      <name val="Aptos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3" tint="0.79998168889431442"/>
        <bgColor indexed="64"/>
      </patternFill>
    </fill>
  </fills>
  <borders count="5">
    <border>
      <left/>
      <right/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82">
    <xf numFmtId="0" fontId="0" fillId="0" borderId="0" xfId="0"/>
    <xf numFmtId="0" fontId="1" fillId="2" borderId="0" xfId="0" applyFont="1" applyFill="1"/>
    <xf numFmtId="0" fontId="0" fillId="2" borderId="0" xfId="0" applyFill="1"/>
    <xf numFmtId="0" fontId="2" fillId="3" borderId="1" xfId="0" applyFont="1" applyFill="1" applyBorder="1" applyAlignment="1">
      <alignment horizontal="center" wrapText="1"/>
    </xf>
    <xf numFmtId="0" fontId="2" fillId="4" borderId="2" xfId="0" applyFont="1" applyFill="1" applyBorder="1" applyAlignment="1">
      <alignment horizontal="center" wrapText="1"/>
    </xf>
    <xf numFmtId="0" fontId="1" fillId="2" borderId="0" xfId="0" applyFont="1" applyFill="1" applyAlignment="1">
      <alignment horizontal="center"/>
    </xf>
    <xf numFmtId="1" fontId="1" fillId="2" borderId="0" xfId="0" applyNumberFormat="1" applyFont="1" applyFill="1" applyAlignment="1">
      <alignment horizontal="center"/>
    </xf>
    <xf numFmtId="164" fontId="1" fillId="2" borderId="3" xfId="0" applyNumberFormat="1" applyFont="1" applyFill="1" applyBorder="1" applyAlignment="1" applyProtection="1">
      <alignment horizontal="center"/>
      <protection locked="0"/>
    </xf>
    <xf numFmtId="2" fontId="1" fillId="2" borderId="3" xfId="0" applyNumberFormat="1" applyFont="1" applyFill="1" applyBorder="1" applyAlignment="1" applyProtection="1">
      <alignment horizontal="center"/>
      <protection locked="0"/>
    </xf>
    <xf numFmtId="0" fontId="1" fillId="2" borderId="0" xfId="0" applyFont="1" applyFill="1" applyAlignment="1">
      <alignment horizontal="center" vertical="center"/>
    </xf>
    <xf numFmtId="164" fontId="3" fillId="2" borderId="0" xfId="0" applyNumberFormat="1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left"/>
    </xf>
    <xf numFmtId="1" fontId="1" fillId="0" borderId="0" xfId="0" applyNumberFormat="1" applyFont="1" applyAlignment="1">
      <alignment horizontal="center"/>
    </xf>
    <xf numFmtId="2" fontId="1" fillId="0" borderId="3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>
      <alignment horizontal="center" vertical="center"/>
    </xf>
    <xf numFmtId="0" fontId="1" fillId="5" borderId="0" xfId="0" applyFont="1" applyFill="1" applyAlignment="1">
      <alignment horizontal="left"/>
    </xf>
    <xf numFmtId="1" fontId="3" fillId="5" borderId="0" xfId="0" applyNumberFormat="1" applyFont="1" applyFill="1" applyAlignment="1">
      <alignment horizontal="center"/>
    </xf>
    <xf numFmtId="0" fontId="1" fillId="5" borderId="0" xfId="0" applyFont="1" applyFill="1"/>
    <xf numFmtId="1" fontId="1" fillId="6" borderId="0" xfId="0" applyNumberFormat="1" applyFont="1" applyFill="1" applyAlignment="1">
      <alignment horizontal="center"/>
    </xf>
    <xf numFmtId="0" fontId="1" fillId="6" borderId="0" xfId="0" applyFont="1" applyFill="1" applyAlignment="1">
      <alignment horizontal="center"/>
    </xf>
    <xf numFmtId="0" fontId="3" fillId="5" borderId="0" xfId="0" applyFont="1" applyFill="1" applyAlignment="1">
      <alignment horizontal="left"/>
    </xf>
    <xf numFmtId="0" fontId="3" fillId="5" borderId="0" xfId="0" applyFont="1" applyFill="1" applyAlignment="1">
      <alignment horizontal="center"/>
    </xf>
    <xf numFmtId="2" fontId="3" fillId="5" borderId="0" xfId="0" applyNumberFormat="1" applyFont="1" applyFill="1" applyAlignment="1">
      <alignment horizontal="center"/>
    </xf>
    <xf numFmtId="164" fontId="3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quotePrefix="1" applyFont="1" applyAlignment="1">
      <alignment horizontal="left"/>
    </xf>
    <xf numFmtId="2" fontId="1" fillId="0" borderId="0" xfId="0" applyNumberFormat="1" applyFont="1" applyAlignment="1">
      <alignment horizontal="center"/>
    </xf>
    <xf numFmtId="2" fontId="1" fillId="6" borderId="0" xfId="0" applyNumberFormat="1" applyFont="1" applyFill="1" applyAlignment="1">
      <alignment horizontal="center"/>
    </xf>
    <xf numFmtId="0" fontId="0" fillId="0" borderId="0" xfId="0" applyAlignment="1">
      <alignment horizontal="left"/>
    </xf>
    <xf numFmtId="2" fontId="0" fillId="0" borderId="0" xfId="0" applyNumberFormat="1"/>
    <xf numFmtId="9" fontId="1" fillId="0" borderId="0" xfId="1" applyFont="1" applyAlignment="1">
      <alignment horizontal="center"/>
    </xf>
    <xf numFmtId="9" fontId="3" fillId="5" borderId="0" xfId="1" applyFont="1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4" fontId="1" fillId="0" borderId="0" xfId="1" applyNumberFormat="1" applyFont="1" applyAlignment="1">
      <alignment horizontal="center"/>
    </xf>
    <xf numFmtId="9" fontId="1" fillId="6" borderId="0" xfId="1" applyFont="1" applyFill="1" applyAlignment="1">
      <alignment horizontal="center"/>
    </xf>
    <xf numFmtId="0" fontId="0" fillId="0" borderId="0" xfId="0" applyAlignment="1">
      <alignment horizontal="center" wrapText="1"/>
    </xf>
    <xf numFmtId="16" fontId="1" fillId="0" borderId="0" xfId="0" quotePrefix="1" applyNumberFormat="1" applyFont="1" applyAlignment="1">
      <alignment horizontal="left"/>
    </xf>
    <xf numFmtId="14" fontId="0" fillId="0" borderId="0" xfId="0" applyNumberFormat="1"/>
    <xf numFmtId="165" fontId="0" fillId="0" borderId="0" xfId="0" applyNumberFormat="1"/>
    <xf numFmtId="0" fontId="0" fillId="0" borderId="0" xfId="0" quotePrefix="1"/>
    <xf numFmtId="9" fontId="0" fillId="0" borderId="0" xfId="1" applyFont="1"/>
    <xf numFmtId="9" fontId="0" fillId="0" borderId="0" xfId="1" applyFont="1" applyAlignment="1">
      <alignment horizontal="center"/>
    </xf>
    <xf numFmtId="9" fontId="0" fillId="0" borderId="0" xfId="0" applyNumberFormat="1"/>
    <xf numFmtId="0" fontId="0" fillId="0" borderId="0" xfId="0" applyAlignment="1">
      <alignment wrapText="1"/>
    </xf>
    <xf numFmtId="0" fontId="5" fillId="0" borderId="0" xfId="0" applyFont="1"/>
    <xf numFmtId="10" fontId="0" fillId="0" borderId="0" xfId="1" applyNumberFormat="1" applyFont="1"/>
    <xf numFmtId="10" fontId="0" fillId="0" borderId="0" xfId="0" applyNumberFormat="1"/>
    <xf numFmtId="4" fontId="0" fillId="0" borderId="0" xfId="0" applyNumberFormat="1"/>
    <xf numFmtId="0" fontId="6" fillId="0" borderId="0" xfId="0" applyFont="1" applyAlignment="1">
      <alignment horizontal="right"/>
    </xf>
    <xf numFmtId="166" fontId="6" fillId="0" borderId="0" xfId="0" applyNumberFormat="1" applyFont="1" applyAlignment="1">
      <alignment horizontal="center"/>
    </xf>
    <xf numFmtId="0" fontId="5" fillId="0" borderId="0" xfId="0" applyFont="1" applyAlignment="1">
      <alignment wrapText="1"/>
    </xf>
    <xf numFmtId="165" fontId="7" fillId="0" borderId="0" xfId="0" applyNumberFormat="1" applyFont="1"/>
    <xf numFmtId="0" fontId="7" fillId="0" borderId="0" xfId="0" applyFont="1" applyAlignment="1">
      <alignment wrapText="1"/>
    </xf>
    <xf numFmtId="0" fontId="7" fillId="0" borderId="0" xfId="0" applyFont="1"/>
    <xf numFmtId="0" fontId="8" fillId="0" borderId="0" xfId="0" applyFont="1" applyAlignment="1">
      <alignment vertical="center"/>
    </xf>
    <xf numFmtId="2" fontId="7" fillId="0" borderId="0" xfId="0" applyNumberFormat="1" applyFont="1"/>
    <xf numFmtId="0" fontId="6" fillId="7" borderId="0" xfId="0" applyFont="1" applyFill="1" applyAlignment="1">
      <alignment horizontal="right"/>
    </xf>
    <xf numFmtId="0" fontId="5" fillId="0" borderId="0" xfId="0" applyFont="1" applyAlignment="1">
      <alignment horizontal="center"/>
    </xf>
    <xf numFmtId="9" fontId="0" fillId="7" borderId="0" xfId="0" applyNumberFormat="1" applyFill="1" applyAlignment="1">
      <alignment horizontal="center"/>
    </xf>
    <xf numFmtId="0" fontId="5" fillId="7" borderId="0" xfId="0" applyFont="1" applyFill="1" applyAlignment="1">
      <alignment horizontal="center"/>
    </xf>
    <xf numFmtId="0" fontId="1" fillId="8" borderId="0" xfId="0" applyFont="1" applyFill="1" applyAlignment="1">
      <alignment horizontal="center"/>
    </xf>
    <xf numFmtId="1" fontId="1" fillId="8" borderId="0" xfId="0" applyNumberFormat="1" applyFont="1" applyFill="1" applyAlignment="1">
      <alignment horizontal="center"/>
    </xf>
    <xf numFmtId="164" fontId="1" fillId="8" borderId="3" xfId="0" applyNumberFormat="1" applyFont="1" applyFill="1" applyBorder="1" applyAlignment="1" applyProtection="1">
      <alignment horizontal="center"/>
      <protection locked="0"/>
    </xf>
    <xf numFmtId="2" fontId="1" fillId="8" borderId="3" xfId="0" applyNumberFormat="1" applyFont="1" applyFill="1" applyBorder="1" applyAlignment="1" applyProtection="1">
      <alignment horizontal="center"/>
      <protection locked="0"/>
    </xf>
    <xf numFmtId="1" fontId="3" fillId="8" borderId="0" xfId="0" applyNumberFormat="1" applyFont="1" applyFill="1" applyAlignment="1">
      <alignment horizontal="center"/>
    </xf>
    <xf numFmtId="164" fontId="1" fillId="0" borderId="3" xfId="0" applyNumberFormat="1" applyFont="1" applyBorder="1" applyAlignment="1" applyProtection="1">
      <alignment horizontal="center"/>
      <protection locked="0"/>
    </xf>
    <xf numFmtId="164" fontId="1" fillId="0" borderId="4" xfId="0" applyNumberFormat="1" applyFont="1" applyBorder="1" applyAlignment="1" applyProtection="1">
      <alignment horizontal="center"/>
      <protection locked="0"/>
    </xf>
    <xf numFmtId="164" fontId="3" fillId="5" borderId="0" xfId="0" applyNumberFormat="1" applyFont="1" applyFill="1" applyAlignment="1" applyProtection="1">
      <alignment horizontal="center"/>
      <protection locked="0"/>
    </xf>
    <xf numFmtId="164" fontId="3" fillId="5" borderId="0" xfId="0" applyNumberFormat="1" applyFont="1" applyFill="1" applyAlignment="1">
      <alignment horizontal="center"/>
    </xf>
    <xf numFmtId="0" fontId="1" fillId="2" borderId="0" xfId="0" applyFont="1" applyFill="1" applyAlignment="1">
      <alignment horizontal="left"/>
    </xf>
    <xf numFmtId="0" fontId="1" fillId="8" borderId="0" xfId="0" applyFont="1" applyFill="1" applyAlignment="1">
      <alignment horizontal="left"/>
    </xf>
    <xf numFmtId="0" fontId="5" fillId="7" borderId="0" xfId="0" applyFont="1" applyFill="1" applyAlignment="1">
      <alignment horizontal="center" wrapText="1"/>
    </xf>
    <xf numFmtId="0" fontId="0" fillId="0" borderId="0" xfId="0" applyAlignment="1">
      <alignment horizontal="right" wrapText="1"/>
    </xf>
    <xf numFmtId="0" fontId="7" fillId="0" borderId="0" xfId="0" applyFont="1" applyAlignment="1">
      <alignment horizontal="right" wrapText="1"/>
    </xf>
    <xf numFmtId="164" fontId="3" fillId="0" borderId="0" xfId="0" applyNumberFormat="1" applyFont="1" applyAlignment="1">
      <alignment horizontal="left"/>
    </xf>
    <xf numFmtId="164" fontId="1" fillId="9" borderId="3" xfId="0" applyNumberFormat="1" applyFont="1" applyFill="1" applyBorder="1" applyAlignment="1" applyProtection="1">
      <alignment horizontal="center"/>
      <protection locked="0"/>
    </xf>
    <xf numFmtId="2" fontId="1" fillId="9" borderId="3" xfId="0" applyNumberFormat="1" applyFont="1" applyFill="1" applyBorder="1" applyAlignment="1" applyProtection="1">
      <alignment horizontal="center"/>
      <protection locked="0"/>
    </xf>
  </cellXfs>
  <cellStyles count="2">
    <cellStyle name="Normal" xfId="0" builtinId="0"/>
    <cellStyle name="Percent" xfId="1" builtinId="5"/>
  </cellStyles>
  <dxfs count="36">
    <dxf>
      <font>
        <color rgb="FF00B050"/>
      </font>
    </dxf>
    <dxf>
      <font>
        <color rgb="FFC00000"/>
      </font>
    </dxf>
    <dxf>
      <font>
        <b/>
        <i val="0"/>
        <color theme="0"/>
      </font>
      <fill>
        <patternFill>
          <bgColor theme="7" tint="0.59996337778862885"/>
        </patternFill>
      </fill>
    </dxf>
    <dxf>
      <font>
        <color theme="0"/>
      </font>
      <fill>
        <patternFill>
          <bgColor theme="5"/>
        </patternFill>
      </fill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b/>
        <i val="0"/>
        <color theme="0"/>
      </font>
      <fill>
        <patternFill>
          <bgColor theme="7" tint="0.59996337778862885"/>
        </patternFill>
      </fill>
    </dxf>
    <dxf>
      <font>
        <color theme="0"/>
      </font>
      <fill>
        <patternFill>
          <bgColor theme="5"/>
        </patternFill>
      </fill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b/>
        <i val="0"/>
        <color theme="0"/>
      </font>
      <fill>
        <patternFill>
          <bgColor theme="7" tint="0.59996337778862885"/>
        </patternFill>
      </fill>
    </dxf>
    <dxf>
      <font>
        <color theme="0"/>
      </font>
      <fill>
        <patternFill>
          <bgColor theme="5"/>
        </patternFill>
      </fill>
    </dxf>
    <dxf>
      <font>
        <color rgb="FF00B050"/>
      </font>
    </dxf>
    <dxf>
      <font>
        <color rgb="FFC00000"/>
      </font>
    </dxf>
    <dxf>
      <font>
        <b/>
        <i val="0"/>
        <color theme="0"/>
      </font>
      <fill>
        <patternFill>
          <bgColor theme="7" tint="0.59996337778862885"/>
        </patternFill>
      </fill>
    </dxf>
    <dxf>
      <font>
        <color theme="0"/>
      </font>
      <fill>
        <patternFill>
          <bgColor theme="5"/>
        </patternFill>
      </fill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b/>
        <i val="0"/>
        <color theme="0"/>
      </font>
      <fill>
        <patternFill>
          <bgColor theme="7" tint="0.59996337778862885"/>
        </patternFill>
      </fill>
    </dxf>
    <dxf>
      <font>
        <color theme="0"/>
      </font>
      <fill>
        <patternFill>
          <bgColor theme="5"/>
        </patternFill>
      </fill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b/>
        <i val="0"/>
        <color theme="0"/>
      </font>
      <fill>
        <patternFill>
          <bgColor theme="7" tint="0.59996337778862885"/>
        </patternFill>
      </fill>
    </dxf>
    <dxf>
      <font>
        <color theme="0"/>
      </font>
      <fill>
        <patternFill>
          <bgColor theme="5"/>
        </patternFill>
      </fill>
    </dxf>
  </dxfs>
  <tableStyles count="0" defaultTableStyle="TableStyleMedium2" defaultPivotStyle="PivotStyleLight16"/>
  <colors>
    <mruColors>
      <color rgb="FF28264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Duration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Portfolio!$O$4</c:f>
              <c:strCache>
                <c:ptCount val="1"/>
                <c:pt idx="0">
                  <c:v>Portfolio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Portfolio!$M$6:$M$9</c:f>
              <c:strCache>
                <c:ptCount val="4"/>
                <c:pt idx="0">
                  <c:v>TOTAL</c:v>
                </c:pt>
                <c:pt idx="1">
                  <c:v>0-1</c:v>
                </c:pt>
                <c:pt idx="2">
                  <c:v>1-2</c:v>
                </c:pt>
                <c:pt idx="3">
                  <c:v>2-3</c:v>
                </c:pt>
              </c:strCache>
            </c:strRef>
          </c:cat>
          <c:val>
            <c:numRef>
              <c:f>Portfolio!$O$6:$O$9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45-4499-8332-78EE27E932D9}"/>
            </c:ext>
          </c:extLst>
        </c:ser>
        <c:ser>
          <c:idx val="1"/>
          <c:order val="1"/>
          <c:tx>
            <c:strRef>
              <c:f>Portfolio!$P$4</c:f>
              <c:strCache>
                <c:ptCount val="1"/>
                <c:pt idx="0">
                  <c:v>BM</c:v>
                </c:pt>
              </c:strCache>
            </c:strRef>
          </c:tx>
          <c:spPr>
            <a:solidFill>
              <a:srgbClr val="28264B"/>
            </a:solidFill>
            <a:ln>
              <a:noFill/>
            </a:ln>
            <a:effectLst/>
          </c:spPr>
          <c:invertIfNegative val="0"/>
          <c:cat>
            <c:strRef>
              <c:f>Portfolio!$M$6:$M$9</c:f>
              <c:strCache>
                <c:ptCount val="4"/>
                <c:pt idx="0">
                  <c:v>TOTAL</c:v>
                </c:pt>
                <c:pt idx="1">
                  <c:v>0-1</c:v>
                </c:pt>
                <c:pt idx="2">
                  <c:v>1-2</c:v>
                </c:pt>
                <c:pt idx="3">
                  <c:v>2-3</c:v>
                </c:pt>
              </c:strCache>
            </c:strRef>
          </c:cat>
          <c:val>
            <c:numRef>
              <c:f>Portfolio!$P$6:$P$9</c:f>
              <c:numCache>
                <c:formatCode>0.00</c:formatCode>
                <c:ptCount val="4"/>
                <c:pt idx="0">
                  <c:v>1.8201379854865034</c:v>
                </c:pt>
                <c:pt idx="1">
                  <c:v>3.5399167122983438E-2</c:v>
                </c:pt>
                <c:pt idx="2">
                  <c:v>0.95824573657765955</c:v>
                </c:pt>
                <c:pt idx="3">
                  <c:v>0.82649308178586012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45-4499-8332-78EE27E93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6007295"/>
        <c:axId val="96014015"/>
      </c:barChart>
      <c:catAx>
        <c:axId val="960072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014015"/>
        <c:crosses val="autoZero"/>
        <c:auto val="1"/>
        <c:lblAlgn val="ctr"/>
        <c:lblOffset val="100"/>
        <c:noMultiLvlLbl val="0"/>
      </c:catAx>
      <c:valAx>
        <c:axId val="96014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0072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Country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Portfolio!$U$14</c:f>
              <c:strCache>
                <c:ptCount val="1"/>
                <c:pt idx="0">
                  <c:v>Portfolio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Portfolio!$T$15:$T$24</c:f>
              <c:strCache>
                <c:ptCount val="10"/>
                <c:pt idx="0">
                  <c:v>CASH</c:v>
                </c:pt>
                <c:pt idx="1">
                  <c:v>US</c:v>
                </c:pt>
                <c:pt idx="2">
                  <c:v>GB</c:v>
                </c:pt>
                <c:pt idx="3">
                  <c:v>JP</c:v>
                </c:pt>
                <c:pt idx="4">
                  <c:v>NL</c:v>
                </c:pt>
                <c:pt idx="5">
                  <c:v>DE</c:v>
                </c:pt>
                <c:pt idx="6">
                  <c:v>NO</c:v>
                </c:pt>
                <c:pt idx="7">
                  <c:v>CA</c:v>
                </c:pt>
                <c:pt idx="8">
                  <c:v>CH</c:v>
                </c:pt>
                <c:pt idx="9">
                  <c:v>ES</c:v>
                </c:pt>
              </c:strCache>
            </c:strRef>
          </c:cat>
          <c:val>
            <c:numRef>
              <c:f>Portfolio!$U$15:$U$24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CF-4554-A287-6BB83F9E139C}"/>
            </c:ext>
          </c:extLst>
        </c:ser>
        <c:ser>
          <c:idx val="1"/>
          <c:order val="1"/>
          <c:tx>
            <c:strRef>
              <c:f>Portfolio!$V$14</c:f>
              <c:strCache>
                <c:ptCount val="1"/>
                <c:pt idx="0">
                  <c:v>BM</c:v>
                </c:pt>
              </c:strCache>
            </c:strRef>
          </c:tx>
          <c:spPr>
            <a:solidFill>
              <a:srgbClr val="28264B"/>
            </a:solidFill>
            <a:ln>
              <a:noFill/>
            </a:ln>
            <a:effectLst/>
          </c:spPr>
          <c:invertIfNegative val="0"/>
          <c:cat>
            <c:strRef>
              <c:f>Portfolio!$T$15:$T$24</c:f>
              <c:strCache>
                <c:ptCount val="10"/>
                <c:pt idx="0">
                  <c:v>CASH</c:v>
                </c:pt>
                <c:pt idx="1">
                  <c:v>US</c:v>
                </c:pt>
                <c:pt idx="2">
                  <c:v>GB</c:v>
                </c:pt>
                <c:pt idx="3">
                  <c:v>JP</c:v>
                </c:pt>
                <c:pt idx="4">
                  <c:v>NL</c:v>
                </c:pt>
                <c:pt idx="5">
                  <c:v>DE</c:v>
                </c:pt>
                <c:pt idx="6">
                  <c:v>NO</c:v>
                </c:pt>
                <c:pt idx="7">
                  <c:v>CA</c:v>
                </c:pt>
                <c:pt idx="8">
                  <c:v>CH</c:v>
                </c:pt>
                <c:pt idx="9">
                  <c:v>ES</c:v>
                </c:pt>
              </c:strCache>
            </c:strRef>
          </c:cat>
          <c:val>
            <c:numRef>
              <c:f>Portfolio!$V$15:$V$24</c:f>
              <c:numCache>
                <c:formatCode>0%</c:formatCode>
                <c:ptCount val="10"/>
                <c:pt idx="0">
                  <c:v>0</c:v>
                </c:pt>
                <c:pt idx="1">
                  <c:v>0.57054757652356647</c:v>
                </c:pt>
                <c:pt idx="2">
                  <c:v>0.14302643338650667</c:v>
                </c:pt>
                <c:pt idx="3">
                  <c:v>3.6742525103732833E-2</c:v>
                </c:pt>
                <c:pt idx="4">
                  <c:v>3.663183644689446E-2</c:v>
                </c:pt>
                <c:pt idx="5">
                  <c:v>7.1856901518261324E-2</c:v>
                </c:pt>
                <c:pt idx="6">
                  <c:v>3.5795562554000633E-2</c:v>
                </c:pt>
                <c:pt idx="7">
                  <c:v>3.3908473679071571E-2</c:v>
                </c:pt>
                <c:pt idx="8">
                  <c:v>3.7651524789555954E-2</c:v>
                </c:pt>
                <c:pt idx="9">
                  <c:v>3.3839165998409956E-2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CF-4554-A287-6BB83F9E13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5947295"/>
        <c:axId val="95947775"/>
      </c:barChart>
      <c:catAx>
        <c:axId val="959472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947775"/>
        <c:crosses val="autoZero"/>
        <c:auto val="1"/>
        <c:lblAlgn val="ctr"/>
        <c:lblOffset val="100"/>
        <c:noMultiLvlLbl val="0"/>
      </c:catAx>
      <c:valAx>
        <c:axId val="95947775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9472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Asset class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Portfolio!$O$20</c:f>
              <c:strCache>
                <c:ptCount val="1"/>
                <c:pt idx="0">
                  <c:v>Portfolio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Portfolio!$N$21:$N$23</c:f>
              <c:strCache>
                <c:ptCount val="3"/>
                <c:pt idx="0">
                  <c:v>Government</c:v>
                </c:pt>
                <c:pt idx="1">
                  <c:v>Corporate</c:v>
                </c:pt>
                <c:pt idx="2">
                  <c:v>Cash</c:v>
                </c:pt>
              </c:strCache>
            </c:strRef>
          </c:cat>
          <c:val>
            <c:numRef>
              <c:f>Portfolio!$O$21:$O$23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22-4074-A937-A0C1E22E288E}"/>
            </c:ext>
          </c:extLst>
        </c:ser>
        <c:ser>
          <c:idx val="1"/>
          <c:order val="1"/>
          <c:tx>
            <c:strRef>
              <c:f>Portfolio!$P$20</c:f>
              <c:strCache>
                <c:ptCount val="1"/>
                <c:pt idx="0">
                  <c:v>Benchmark</c:v>
                </c:pt>
              </c:strCache>
            </c:strRef>
          </c:tx>
          <c:spPr>
            <a:solidFill>
              <a:srgbClr val="28264B"/>
            </a:solidFill>
            <a:ln>
              <a:noFill/>
            </a:ln>
            <a:effectLst/>
          </c:spPr>
          <c:invertIfNegative val="0"/>
          <c:cat>
            <c:strRef>
              <c:f>Portfolio!$N$21:$N$23</c:f>
              <c:strCache>
                <c:ptCount val="3"/>
                <c:pt idx="0">
                  <c:v>Government</c:v>
                </c:pt>
                <c:pt idx="1">
                  <c:v>Corporate</c:v>
                </c:pt>
                <c:pt idx="2">
                  <c:v>Cash</c:v>
                </c:pt>
              </c:strCache>
            </c:strRef>
          </c:cat>
          <c:val>
            <c:numRef>
              <c:f>Portfolio!$P$21:$P$23</c:f>
              <c:numCache>
                <c:formatCode>0%</c:formatCode>
                <c:ptCount val="3"/>
                <c:pt idx="0">
                  <c:v>0.49809952339747948</c:v>
                </c:pt>
                <c:pt idx="1">
                  <c:v>0.50190047660252046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22-4074-A937-A0C1E22E28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5947295"/>
        <c:axId val="95947775"/>
      </c:barChart>
      <c:catAx>
        <c:axId val="959472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947775"/>
        <c:crosses val="autoZero"/>
        <c:auto val="1"/>
        <c:lblAlgn val="ctr"/>
        <c:lblOffset val="100"/>
        <c:noMultiLvlLbl val="0"/>
      </c:catAx>
      <c:valAx>
        <c:axId val="95947775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9472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Rating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Portfolio!$V$3</c:f>
              <c:strCache>
                <c:ptCount val="1"/>
                <c:pt idx="0">
                  <c:v>Portfolio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Portfolio!$U$4:$U$9</c:f>
              <c:strCache>
                <c:ptCount val="6"/>
                <c:pt idx="0">
                  <c:v>AA1</c:v>
                </c:pt>
                <c:pt idx="1">
                  <c:v>A1</c:v>
                </c:pt>
                <c:pt idx="2">
                  <c:v>A2</c:v>
                </c:pt>
                <c:pt idx="3">
                  <c:v>A3</c:v>
                </c:pt>
                <c:pt idx="4">
                  <c:v>Cash</c:v>
                </c:pt>
                <c:pt idx="5">
                  <c:v>Equities</c:v>
                </c:pt>
              </c:strCache>
            </c:strRef>
          </c:cat>
          <c:val>
            <c:numRef>
              <c:f>Portfolio!$V$4:$V$9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49-4DD1-AA66-E8533EC0C0C6}"/>
            </c:ext>
          </c:extLst>
        </c:ser>
        <c:ser>
          <c:idx val="1"/>
          <c:order val="1"/>
          <c:tx>
            <c:strRef>
              <c:f>Portfolio!$W$3</c:f>
              <c:strCache>
                <c:ptCount val="1"/>
                <c:pt idx="0">
                  <c:v>BM</c:v>
                </c:pt>
              </c:strCache>
            </c:strRef>
          </c:tx>
          <c:spPr>
            <a:solidFill>
              <a:srgbClr val="28264B"/>
            </a:solidFill>
            <a:ln>
              <a:noFill/>
            </a:ln>
            <a:effectLst/>
          </c:spPr>
          <c:invertIfNegative val="0"/>
          <c:cat>
            <c:strRef>
              <c:f>Portfolio!$U$4:$U$9</c:f>
              <c:strCache>
                <c:ptCount val="6"/>
                <c:pt idx="0">
                  <c:v>AA1</c:v>
                </c:pt>
                <c:pt idx="1">
                  <c:v>A1</c:v>
                </c:pt>
                <c:pt idx="2">
                  <c:v>A2</c:v>
                </c:pt>
                <c:pt idx="3">
                  <c:v>A3</c:v>
                </c:pt>
                <c:pt idx="4">
                  <c:v>Cash</c:v>
                </c:pt>
                <c:pt idx="5">
                  <c:v>Equities</c:v>
                </c:pt>
              </c:strCache>
            </c:strRef>
          </c:cat>
          <c:val>
            <c:numRef>
              <c:f>Portfolio!$W$4:$W$9</c:f>
              <c:numCache>
                <c:formatCode>0%</c:formatCode>
                <c:ptCount val="6"/>
                <c:pt idx="0">
                  <c:v>0.49809952339747948</c:v>
                </c:pt>
                <c:pt idx="1">
                  <c:v>0.10978113857694902</c:v>
                </c:pt>
                <c:pt idx="2">
                  <c:v>0.21408154249207573</c:v>
                </c:pt>
                <c:pt idx="3">
                  <c:v>0.17803779553349569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49-4DD1-AA66-E8533EC0C0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5947295"/>
        <c:axId val="95947775"/>
      </c:barChart>
      <c:catAx>
        <c:axId val="959472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947775"/>
        <c:crosses val="autoZero"/>
        <c:auto val="1"/>
        <c:lblAlgn val="ctr"/>
        <c:lblOffset val="100"/>
        <c:noMultiLvlLbl val="0"/>
      </c:catAx>
      <c:valAx>
        <c:axId val="95947775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9472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922564</xdr:colOff>
      <xdr:row>5</xdr:row>
      <xdr:rowOff>44904</xdr:rowOff>
    </xdr:from>
    <xdr:to>
      <xdr:col>17</xdr:col>
      <xdr:colOff>362879</xdr:colOff>
      <xdr:row>13</xdr:row>
      <xdr:rowOff>74180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ontent Placeholder 7">
              <a:extLst>
                <a:ext uri="{FF2B5EF4-FFF2-40B4-BE49-F238E27FC236}">
                  <a16:creationId xmlns:a16="http://schemas.microsoft.com/office/drawing/2014/main" id="{23EA97D2-9BE8-4941-B731-861F95B2BB14}"/>
                </a:ext>
              </a:extLst>
            </xdr:cNvPr>
            <xdr:cNvSpPr txBox="1">
              <a:spLocks/>
            </xdr:cNvSpPr>
          </xdr:nvSpPr>
          <xdr:spPr>
            <a:xfrm>
              <a:off x="7862207" y="1226004"/>
              <a:ext cx="6434386" cy="1803647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Allocation Return = </a:t>
              </a:r>
              <a14:m>
                <m:oMath xmlns:m="http://schemas.openxmlformats.org/officeDocument/2006/math">
                  <m:nary>
                    <m:naryPr>
                      <m:chr m:val="∑"/>
                      <m:subHide m:val="on"/>
                      <m:supHide m:val="on"/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naryPr>
                    <m:sub/>
                    <m:sup/>
                    <m:e>
                      <m:sSub>
                        <m:sSubPr>
                          <m:ctrlP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𝑤</m:t>
                          </m:r>
                        </m:e>
                        <m:sub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𝑝</m:t>
                          </m:r>
                        </m:sub>
                      </m:s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−</m:t>
                      </m:r>
                      <m:sSub>
                        <m:sSubPr>
                          <m:ctrlP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𝑤</m:t>
                          </m:r>
                        </m:e>
                        <m:sub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𝑏</m:t>
                          </m:r>
                        </m:sub>
                      </m:s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)</m:t>
                      </m:r>
                    </m:e>
                  </m:nary>
                  <m:sSub>
                    <m:sSubPr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(</m:t>
                      </m:r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  <m:r>
                    <a:rPr lang="en-GB" i="1" kern="0">
                      <a:solidFill>
                        <a:schemeClr val="accent1"/>
                      </a:solidFill>
                      <a:latin typeface="Cambria Math" panose="02040503050406030204" pitchFamily="18" charset="0"/>
                    </a:rPr>
                    <m:t>−</m:t>
                  </m:r>
                  <m:r>
                    <a:rPr lang="en-GB" i="1" kern="0">
                      <a:solidFill>
                        <a:schemeClr val="accent1"/>
                      </a:solidFill>
                      <a:latin typeface="Cambria Math" panose="02040503050406030204" pitchFamily="18" charset="0"/>
                    </a:rPr>
                    <m:t>𝐵</m:t>
                  </m:r>
                </m:oMath>
              </a14:m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𝑤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i="1" kern="0">
                  <a:solidFill>
                    <a:sysClr val="windowText" lastClr="000000"/>
                  </a:solidFill>
                </a:rPr>
                <a:t>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𝑤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Benchmark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Benchmark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:r>
                <a:rPr lang="en-GB" sz="1400" i="1" kern="0">
                  <a:solidFill>
                    <a:schemeClr val="accent1"/>
                  </a:solidFill>
                </a:rPr>
                <a:t>B 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= Total Return of the Benchmark</a:t>
              </a:r>
            </a:p>
          </xdr:txBody>
        </xdr:sp>
      </mc:Choice>
      <mc:Fallback xmlns="">
        <xdr:sp macro="" textlink="">
          <xdr:nvSpPr>
            <xdr:cNvPr id="3" name="Content Placeholder 7">
              <a:extLst>
                <a:ext uri="{FF2B5EF4-FFF2-40B4-BE49-F238E27FC236}">
                  <a16:creationId xmlns:a16="http://schemas.microsoft.com/office/drawing/2014/main" id="{23EA97D2-9BE8-4941-B731-861F95B2BB14}"/>
                </a:ext>
              </a:extLst>
            </xdr:cNvPr>
            <xdr:cNvSpPr txBox="1">
              <a:spLocks/>
            </xdr:cNvSpPr>
          </xdr:nvSpPr>
          <xdr:spPr>
            <a:xfrm>
              <a:off x="7862207" y="1226004"/>
              <a:ext cx="6434386" cy="1803647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Allocation Return = </a:t>
              </a:r>
              <a:r>
                <a:rPr lang="en-GB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∑▒〖〖(𝑤〗_𝑝−𝑤_𝑏)〗 〖(𝑅〗_𝑏−𝐵</a:t>
              </a:r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𝑤_𝑝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i="1" kern="0">
                  <a:solidFill>
                    <a:sysClr val="windowText" lastClr="000000"/>
                  </a:solidFill>
                </a:rPr>
                <a:t>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𝑤_𝑏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Benchmark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𝑅_𝑏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Benchmark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:r>
                <a:rPr lang="en-GB" sz="1400" i="1" kern="0">
                  <a:solidFill>
                    <a:schemeClr val="accent1"/>
                  </a:solidFill>
                </a:rPr>
                <a:t>B 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= Total Return of the Benchmark</a:t>
              </a:r>
            </a:p>
          </xdr:txBody>
        </xdr:sp>
      </mc:Fallback>
    </mc:AlternateContent>
    <xdr:clientData/>
  </xdr:twoCellAnchor>
  <xdr:twoCellAnchor>
    <xdr:from>
      <xdr:col>7</xdr:col>
      <xdr:colOff>857250</xdr:colOff>
      <xdr:row>13</xdr:row>
      <xdr:rowOff>0</xdr:rowOff>
    </xdr:from>
    <xdr:to>
      <xdr:col>17</xdr:col>
      <xdr:colOff>497590</xdr:colOff>
      <xdr:row>21</xdr:row>
      <xdr:rowOff>252433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ontent Placeholder 7">
              <a:extLst>
                <a:ext uri="{FF2B5EF4-FFF2-40B4-BE49-F238E27FC236}">
                  <a16:creationId xmlns:a16="http://schemas.microsoft.com/office/drawing/2014/main" id="{E29029D1-8055-4640-815D-EA9A1452B347}"/>
                </a:ext>
              </a:extLst>
            </xdr:cNvPr>
            <xdr:cNvSpPr txBox="1">
              <a:spLocks/>
            </xdr:cNvSpPr>
          </xdr:nvSpPr>
          <xdr:spPr>
            <a:xfrm>
              <a:off x="7035165" y="3009900"/>
              <a:ext cx="6197350" cy="1839298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Selection Return = </a:t>
              </a:r>
              <a14:m>
                <m:oMath xmlns:m="http://schemas.openxmlformats.org/officeDocument/2006/math">
                  <m:nary>
                    <m:naryPr>
                      <m:chr m:val="∑"/>
                      <m:subHide m:val="on"/>
                      <m:supHide m:val="on"/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naryPr>
                    <m:sub/>
                    <m:sup/>
                    <m:e>
                      <m:sSub>
                        <m:sSubPr>
                          <m:ctrlP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𝑤</m:t>
                          </m:r>
                        </m:e>
                        <m:sub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𝑝</m:t>
                          </m:r>
                        </m:sub>
                      </m:sSub>
                    </m:e>
                  </m:nary>
                  <m:sSub>
                    <m:sSubPr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(</m:t>
                      </m:r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  <m:r>
                    <a:rPr lang="en-GB" i="1" kern="0">
                      <a:solidFill>
                        <a:schemeClr val="accent1"/>
                      </a:solidFill>
                      <a:latin typeface="Cambria Math" panose="02040503050406030204" pitchFamily="18" charset="0"/>
                    </a:rPr>
                    <m:t>−</m:t>
                  </m:r>
                  <m:sSub>
                    <m:sSubPr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</m:oMath>
              </a14:m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𝑤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 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Benchmark</a:t>
              </a:r>
            </a:p>
          </xdr:txBody>
        </xdr:sp>
      </mc:Choice>
      <mc:Fallback xmlns="">
        <xdr:sp macro="" textlink="">
          <xdr:nvSpPr>
            <xdr:cNvPr id="4" name="Content Placeholder 7">
              <a:extLst>
                <a:ext uri="{FF2B5EF4-FFF2-40B4-BE49-F238E27FC236}">
                  <a16:creationId xmlns:a16="http://schemas.microsoft.com/office/drawing/2014/main" id="{E29029D1-8055-4640-815D-EA9A1452B347}"/>
                </a:ext>
              </a:extLst>
            </xdr:cNvPr>
            <xdr:cNvSpPr txBox="1">
              <a:spLocks/>
            </xdr:cNvSpPr>
          </xdr:nvSpPr>
          <xdr:spPr>
            <a:xfrm>
              <a:off x="7035165" y="3009900"/>
              <a:ext cx="6197350" cy="1839298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Selection Return = </a:t>
              </a:r>
              <a:r>
                <a:rPr lang="en-GB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∑▒𝑤_𝑝  〖(𝑅〗_𝑝−𝑅_𝑏</a:t>
              </a:r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𝑤_𝑝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𝑅_𝑝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 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𝑅_𝑏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Benchmark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424543</xdr:colOff>
      <xdr:row>1</xdr:row>
      <xdr:rowOff>48986</xdr:rowOff>
    </xdr:from>
    <xdr:to>
      <xdr:col>12</xdr:col>
      <xdr:colOff>397397</xdr:colOff>
      <xdr:row>3</xdr:row>
      <xdr:rowOff>315703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C4412A3-4AAE-937D-996B-06BDC328CC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430986" y="239486"/>
          <a:ext cx="2607197" cy="65316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10</xdr:row>
      <xdr:rowOff>123825</xdr:rowOff>
    </xdr:from>
    <xdr:to>
      <xdr:col>8</xdr:col>
      <xdr:colOff>192790</xdr:colOff>
      <xdr:row>22</xdr:row>
      <xdr:rowOff>23833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ontent Placeholder 7">
              <a:extLst>
                <a:ext uri="{FF2B5EF4-FFF2-40B4-BE49-F238E27FC236}">
                  <a16:creationId xmlns:a16="http://schemas.microsoft.com/office/drawing/2014/main" id="{5E9BAA84-55C1-405A-B89B-33B985DCB7AB}"/>
                </a:ext>
              </a:extLst>
            </xdr:cNvPr>
            <xdr:cNvSpPr txBox="1">
              <a:spLocks/>
            </xdr:cNvSpPr>
          </xdr:nvSpPr>
          <xdr:spPr>
            <a:xfrm>
              <a:off x="628650" y="2487930"/>
              <a:ext cx="6193540" cy="1951693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Allocation Return = </a:t>
              </a:r>
              <a14:m>
                <m:oMath xmlns:m="http://schemas.openxmlformats.org/officeDocument/2006/math">
                  <m:nary>
                    <m:naryPr>
                      <m:chr m:val="∑"/>
                      <m:subHide m:val="on"/>
                      <m:supHide m:val="on"/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naryPr>
                    <m:sub/>
                    <m:sup/>
                    <m:e>
                      <m:sSub>
                        <m:sSubPr>
                          <m:ctrlP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𝑤</m:t>
                          </m:r>
                        </m:e>
                        <m:sub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𝑝</m:t>
                          </m:r>
                        </m:sub>
                      </m:s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−</m:t>
                      </m:r>
                      <m:sSub>
                        <m:sSubPr>
                          <m:ctrlP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𝑤</m:t>
                          </m:r>
                        </m:e>
                        <m:sub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𝑏</m:t>
                          </m:r>
                        </m:sub>
                      </m:s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)</m:t>
                      </m:r>
                    </m:e>
                  </m:nary>
                  <m:sSub>
                    <m:sSubPr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(</m:t>
                      </m:r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  <m:r>
                    <a:rPr lang="en-GB" i="1" kern="0">
                      <a:solidFill>
                        <a:schemeClr val="accent1"/>
                      </a:solidFill>
                      <a:latin typeface="Cambria Math" panose="02040503050406030204" pitchFamily="18" charset="0"/>
                    </a:rPr>
                    <m:t>−</m:t>
                  </m:r>
                  <m:r>
                    <a:rPr lang="en-GB" i="1" kern="0">
                      <a:solidFill>
                        <a:schemeClr val="accent1"/>
                      </a:solidFill>
                      <a:latin typeface="Cambria Math" panose="02040503050406030204" pitchFamily="18" charset="0"/>
                    </a:rPr>
                    <m:t>𝐵</m:t>
                  </m:r>
                </m:oMath>
              </a14:m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𝑤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i="1" kern="0">
                  <a:solidFill>
                    <a:sysClr val="windowText" lastClr="000000"/>
                  </a:solidFill>
                </a:rPr>
                <a:t>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𝑤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Benchmark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Benchmark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:r>
                <a:rPr lang="en-GB" sz="1400" i="1" kern="0">
                  <a:solidFill>
                    <a:schemeClr val="accent1"/>
                  </a:solidFill>
                </a:rPr>
                <a:t>B 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= Total Return of the Benchmark</a:t>
              </a:r>
            </a:p>
          </xdr:txBody>
        </xdr:sp>
      </mc:Choice>
      <mc:Fallback xmlns="">
        <xdr:sp macro="" textlink="">
          <xdr:nvSpPr>
            <xdr:cNvPr id="2" name="Content Placeholder 7">
              <a:extLst>
                <a:ext uri="{FF2B5EF4-FFF2-40B4-BE49-F238E27FC236}">
                  <a16:creationId xmlns:a16="http://schemas.microsoft.com/office/drawing/2014/main" id="{5E9BAA84-55C1-405A-B89B-33B985DCB7AB}"/>
                </a:ext>
              </a:extLst>
            </xdr:cNvPr>
            <xdr:cNvSpPr txBox="1">
              <a:spLocks/>
            </xdr:cNvSpPr>
          </xdr:nvSpPr>
          <xdr:spPr>
            <a:xfrm>
              <a:off x="628650" y="2487930"/>
              <a:ext cx="6193540" cy="1951693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Allocation Return = </a:t>
              </a:r>
              <a:r>
                <a:rPr lang="en-GB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∑▒〖〖(𝑤〗_𝑝−𝑤_𝑏)〗 〖(𝑅〗_𝑏−𝐵</a:t>
              </a:r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𝑤_𝑝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i="1" kern="0">
                  <a:solidFill>
                    <a:sysClr val="windowText" lastClr="000000"/>
                  </a:solidFill>
                </a:rPr>
                <a:t>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𝑤_𝑏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Benchmark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𝑅_𝑏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Benchmark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:r>
                <a:rPr lang="en-GB" sz="1400" i="1" kern="0">
                  <a:solidFill>
                    <a:schemeClr val="accent1"/>
                  </a:solidFill>
                </a:rPr>
                <a:t>B 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= Total Return of the Benchmark</a:t>
              </a:r>
            </a:p>
          </xdr:txBody>
        </xdr:sp>
      </mc:Fallback>
    </mc:AlternateContent>
    <xdr:clientData/>
  </xdr:twoCellAnchor>
  <xdr:twoCellAnchor>
    <xdr:from>
      <xdr:col>1</xdr:col>
      <xdr:colOff>28575</xdr:colOff>
      <xdr:row>22</xdr:row>
      <xdr:rowOff>38100</xdr:rowOff>
    </xdr:from>
    <xdr:to>
      <xdr:col>8</xdr:col>
      <xdr:colOff>221365</xdr:colOff>
      <xdr:row>33</xdr:row>
      <xdr:rowOff>100033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ontent Placeholder 7">
              <a:extLst>
                <a:ext uri="{FF2B5EF4-FFF2-40B4-BE49-F238E27FC236}">
                  <a16:creationId xmlns:a16="http://schemas.microsoft.com/office/drawing/2014/main" id="{AACD8288-0649-473C-91BD-EA8CBC1F88CC}"/>
                </a:ext>
              </a:extLst>
            </xdr:cNvPr>
            <xdr:cNvSpPr txBox="1">
              <a:spLocks/>
            </xdr:cNvSpPr>
          </xdr:nvSpPr>
          <xdr:spPr>
            <a:xfrm>
              <a:off x="655320" y="4457700"/>
              <a:ext cx="6193540" cy="1944073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Selection Return = </a:t>
              </a:r>
              <a14:m>
                <m:oMath xmlns:m="http://schemas.openxmlformats.org/officeDocument/2006/math">
                  <m:nary>
                    <m:naryPr>
                      <m:chr m:val="∑"/>
                      <m:subHide m:val="on"/>
                      <m:supHide m:val="on"/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naryPr>
                    <m:sub/>
                    <m:sup/>
                    <m:e>
                      <m:sSub>
                        <m:sSubPr>
                          <m:ctrlP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𝑤</m:t>
                          </m:r>
                        </m:e>
                        <m:sub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𝑝</m:t>
                          </m:r>
                        </m:sub>
                      </m:sSub>
                    </m:e>
                  </m:nary>
                  <m:sSub>
                    <m:sSubPr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(</m:t>
                      </m:r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  <m:r>
                    <a:rPr lang="en-GB" i="1" kern="0">
                      <a:solidFill>
                        <a:schemeClr val="accent1"/>
                      </a:solidFill>
                      <a:latin typeface="Cambria Math" panose="02040503050406030204" pitchFamily="18" charset="0"/>
                    </a:rPr>
                    <m:t>−</m:t>
                  </m:r>
                  <m:sSub>
                    <m:sSubPr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</m:oMath>
              </a14:m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𝑤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 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Benchmark</a:t>
              </a:r>
            </a:p>
          </xdr:txBody>
        </xdr:sp>
      </mc:Choice>
      <mc:Fallback xmlns="">
        <xdr:sp macro="" textlink="">
          <xdr:nvSpPr>
            <xdr:cNvPr id="3" name="Content Placeholder 7">
              <a:extLst>
                <a:ext uri="{FF2B5EF4-FFF2-40B4-BE49-F238E27FC236}">
                  <a16:creationId xmlns:a16="http://schemas.microsoft.com/office/drawing/2014/main" id="{AACD8288-0649-473C-91BD-EA8CBC1F88CC}"/>
                </a:ext>
              </a:extLst>
            </xdr:cNvPr>
            <xdr:cNvSpPr txBox="1">
              <a:spLocks/>
            </xdr:cNvSpPr>
          </xdr:nvSpPr>
          <xdr:spPr>
            <a:xfrm>
              <a:off x="655320" y="4457700"/>
              <a:ext cx="6193540" cy="1944073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Selection Return = </a:t>
              </a:r>
              <a:r>
                <a:rPr lang="en-GB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∑▒𝑤_𝑝  〖(𝑅〗_𝑝−𝑅_𝑏</a:t>
              </a:r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𝑤_𝑝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𝑅_𝑝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 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𝑅_𝑏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Benchmark</a:t>
              </a:r>
            </a:p>
          </xdr:txBody>
        </xdr:sp>
      </mc:Fallback>
    </mc:AlternateContent>
    <xdr:clientData/>
  </xdr:twoCellAnchor>
  <xdr:twoCellAnchor>
    <xdr:from>
      <xdr:col>7</xdr:col>
      <xdr:colOff>76200</xdr:colOff>
      <xdr:row>10</xdr:row>
      <xdr:rowOff>114300</xdr:rowOff>
    </xdr:from>
    <xdr:to>
      <xdr:col>16</xdr:col>
      <xdr:colOff>364240</xdr:colOff>
      <xdr:row>22</xdr:row>
      <xdr:rowOff>14308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ontent Placeholder 7">
              <a:extLst>
                <a:ext uri="{FF2B5EF4-FFF2-40B4-BE49-F238E27FC236}">
                  <a16:creationId xmlns:a16="http://schemas.microsoft.com/office/drawing/2014/main" id="{A5E96912-4B43-40FD-A35A-8B17035C5F2D}"/>
                </a:ext>
              </a:extLst>
            </xdr:cNvPr>
            <xdr:cNvSpPr txBox="1">
              <a:spLocks/>
            </xdr:cNvSpPr>
          </xdr:nvSpPr>
          <xdr:spPr>
            <a:xfrm>
              <a:off x="5848350" y="2476500"/>
              <a:ext cx="6170680" cy="1961218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Allocation Return where the benchmark allocation is 0% </a:t>
              </a:r>
            </a:p>
            <a:p>
              <a:r>
                <a:rPr lang="en-GB" kern="0">
                  <a:solidFill>
                    <a:sysClr val="windowText" lastClr="000000"/>
                  </a:solidFill>
                  <a:highlight>
                    <a:srgbClr val="FFFF00"/>
                  </a:highlight>
                </a:rPr>
                <a:t>Change to formula below</a:t>
              </a:r>
            </a:p>
            <a:p>
              <a:r>
                <a:rPr lang="en-GB" kern="0">
                  <a:solidFill>
                    <a:sysClr val="windowText" lastClr="000000"/>
                  </a:solidFill>
                </a:rPr>
                <a:t>= </a:t>
              </a:r>
              <a14:m>
                <m:oMath xmlns:m="http://schemas.openxmlformats.org/officeDocument/2006/math">
                  <m:nary>
                    <m:naryPr>
                      <m:chr m:val="∑"/>
                      <m:subHide m:val="on"/>
                      <m:supHide m:val="on"/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naryPr>
                    <m:sub/>
                    <m:sup/>
                    <m:e>
                      <m:sSub>
                        <m:sSubPr>
                          <m:ctrlP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𝑤</m:t>
                          </m:r>
                        </m:e>
                        <m:sub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𝑝</m:t>
                          </m:r>
                        </m:sub>
                      </m:sSub>
                    </m:e>
                  </m:nary>
                  <m:sSub>
                    <m:sSubPr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(</m:t>
                      </m:r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  <m:r>
                    <a:rPr lang="en-GB" i="1" kern="0">
                      <a:solidFill>
                        <a:schemeClr val="accent1"/>
                      </a:solidFill>
                      <a:latin typeface="Cambria Math" panose="02040503050406030204" pitchFamily="18" charset="0"/>
                    </a:rPr>
                    <m:t>−</m:t>
                  </m:r>
                  <m:r>
                    <a:rPr lang="en-GB" b="0" i="1" kern="0">
                      <a:solidFill>
                        <a:schemeClr val="accent1"/>
                      </a:solidFill>
                      <a:latin typeface="Cambria Math" panose="02040503050406030204" pitchFamily="18" charset="0"/>
                    </a:rPr>
                    <m:t>𝐵</m:t>
                  </m:r>
                </m:oMath>
              </a14:m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𝑤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 </a:t>
              </a:r>
              <a:r>
                <a:rPr lang="en-GB" sz="1400" i="1" kern="0">
                  <a:solidFill>
                    <a:schemeClr val="accent1"/>
                  </a:solidFill>
                </a:rPr>
                <a:t>B 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= Total Return of the Benchmark</a:t>
              </a:r>
            </a:p>
          </xdr:txBody>
        </xdr:sp>
      </mc:Choice>
      <mc:Fallback xmlns="">
        <xdr:sp macro="" textlink="">
          <xdr:nvSpPr>
            <xdr:cNvPr id="4" name="Content Placeholder 7">
              <a:extLst>
                <a:ext uri="{FF2B5EF4-FFF2-40B4-BE49-F238E27FC236}">
                  <a16:creationId xmlns:a16="http://schemas.microsoft.com/office/drawing/2014/main" id="{A5E96912-4B43-40FD-A35A-8B17035C5F2D}"/>
                </a:ext>
              </a:extLst>
            </xdr:cNvPr>
            <xdr:cNvSpPr txBox="1">
              <a:spLocks/>
            </xdr:cNvSpPr>
          </xdr:nvSpPr>
          <xdr:spPr>
            <a:xfrm>
              <a:off x="5848350" y="2476500"/>
              <a:ext cx="6170680" cy="1961218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Allocation Return where the benchmark allocation is 0% </a:t>
              </a:r>
            </a:p>
            <a:p>
              <a:r>
                <a:rPr lang="en-GB" kern="0">
                  <a:solidFill>
                    <a:sysClr val="windowText" lastClr="000000"/>
                  </a:solidFill>
                  <a:highlight>
                    <a:srgbClr val="FFFF00"/>
                  </a:highlight>
                </a:rPr>
                <a:t>Change to formula below</a:t>
              </a:r>
            </a:p>
            <a:p>
              <a:r>
                <a:rPr lang="en-GB" kern="0">
                  <a:solidFill>
                    <a:sysClr val="windowText" lastClr="000000"/>
                  </a:solidFill>
                </a:rPr>
                <a:t>= </a:t>
              </a:r>
              <a:r>
                <a:rPr lang="en-GB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∑▒𝑤_𝑝  〖(𝑅〗_𝑝−</a:t>
              </a:r>
              <a:r>
                <a:rPr lang="en-GB" b="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𝐵</a:t>
              </a:r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𝑤_𝑝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𝑅_𝑝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 </a:t>
              </a:r>
              <a:r>
                <a:rPr lang="en-GB" sz="1400" i="1" kern="0">
                  <a:solidFill>
                    <a:schemeClr val="accent1"/>
                  </a:solidFill>
                </a:rPr>
                <a:t>B 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= Total Return of the Benchmark</a:t>
              </a:r>
            </a:p>
          </xdr:txBody>
        </xdr:sp>
      </mc:Fallback>
    </mc:AlternateContent>
    <xdr:clientData/>
  </xdr:twoCellAnchor>
  <xdr:twoCellAnchor>
    <xdr:from>
      <xdr:col>7</xdr:col>
      <xdr:colOff>66675</xdr:colOff>
      <xdr:row>22</xdr:row>
      <xdr:rowOff>47625</xdr:rowOff>
    </xdr:from>
    <xdr:to>
      <xdr:col>16</xdr:col>
      <xdr:colOff>354715</xdr:colOff>
      <xdr:row>33</xdr:row>
      <xdr:rowOff>109558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ontent Placeholder 7">
              <a:extLst>
                <a:ext uri="{FF2B5EF4-FFF2-40B4-BE49-F238E27FC236}">
                  <a16:creationId xmlns:a16="http://schemas.microsoft.com/office/drawing/2014/main" id="{082E0C32-9D55-46C7-98F9-A2985A0E31B9}"/>
                </a:ext>
              </a:extLst>
            </xdr:cNvPr>
            <xdr:cNvSpPr txBox="1">
              <a:spLocks/>
            </xdr:cNvSpPr>
          </xdr:nvSpPr>
          <xdr:spPr>
            <a:xfrm>
              <a:off x="5836920" y="4469130"/>
              <a:ext cx="6180205" cy="1944073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Selection Return where the benchmark allocation is 0% </a:t>
              </a:r>
            </a:p>
            <a:p>
              <a:r>
                <a:rPr lang="en-GB" kern="0">
                  <a:solidFill>
                    <a:sysClr val="windowText" lastClr="000000"/>
                  </a:solidFill>
                  <a:highlight>
                    <a:srgbClr val="FFFF00"/>
                  </a:highlight>
                </a:rPr>
                <a:t>Change to formula below</a:t>
              </a:r>
            </a:p>
            <a:p>
              <a:r>
                <a:rPr lang="en-GB" kern="0">
                  <a:solidFill>
                    <a:sysClr val="windowText" lastClr="000000"/>
                  </a:solidFill>
                </a:rPr>
                <a:t>= </a:t>
              </a:r>
              <a14:m>
                <m:oMath xmlns:m="http://schemas.openxmlformats.org/officeDocument/2006/math">
                  <m:nary>
                    <m:naryPr>
                      <m:chr m:val="∑"/>
                      <m:subHide m:val="on"/>
                      <m:supHide m:val="on"/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naryPr>
                    <m:sub/>
                    <m:sup/>
                    <m:e>
                      <m:sSub>
                        <m:sSubPr>
                          <m:ctrlP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𝑤</m:t>
                          </m:r>
                        </m:e>
                        <m:sub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𝑝</m:t>
                          </m:r>
                        </m:sub>
                      </m:sSub>
                    </m:e>
                  </m:nary>
                  <m:sSub>
                    <m:sSubPr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(</m:t>
                      </m:r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  <m:r>
                    <a:rPr lang="en-GB" i="1" kern="0">
                      <a:solidFill>
                        <a:schemeClr val="accent1"/>
                      </a:solidFill>
                      <a:latin typeface="Cambria Math" panose="02040503050406030204" pitchFamily="18" charset="0"/>
                    </a:rPr>
                    <m:t>−</m:t>
                  </m:r>
                  <m:sSub>
                    <m:sSubPr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b="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𝑤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Portfolio</a:t>
              </a:r>
            </a:p>
            <a:p>
              <a:r>
                <a:rPr lang="en-GB" sz="1400" i="1" kern="0">
                  <a:solidFill>
                    <a:sysClr val="windowText" lastClr="000000"/>
                  </a:solidFill>
                </a:rPr>
                <a:t>Answer is always zero.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 </a:t>
              </a:r>
              <a:endParaRPr lang="en-GB" sz="1400" i="1" kern="0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5" name="Content Placeholder 7">
              <a:extLst>
                <a:ext uri="{FF2B5EF4-FFF2-40B4-BE49-F238E27FC236}">
                  <a16:creationId xmlns:a16="http://schemas.microsoft.com/office/drawing/2014/main" id="{082E0C32-9D55-46C7-98F9-A2985A0E31B9}"/>
                </a:ext>
              </a:extLst>
            </xdr:cNvPr>
            <xdr:cNvSpPr txBox="1">
              <a:spLocks/>
            </xdr:cNvSpPr>
          </xdr:nvSpPr>
          <xdr:spPr>
            <a:xfrm>
              <a:off x="5836920" y="4469130"/>
              <a:ext cx="6180205" cy="1944073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Selection Return where the benchmark allocation is 0% </a:t>
              </a:r>
            </a:p>
            <a:p>
              <a:r>
                <a:rPr lang="en-GB" kern="0">
                  <a:solidFill>
                    <a:sysClr val="windowText" lastClr="000000"/>
                  </a:solidFill>
                  <a:highlight>
                    <a:srgbClr val="FFFF00"/>
                  </a:highlight>
                </a:rPr>
                <a:t>Change to formula below</a:t>
              </a:r>
            </a:p>
            <a:p>
              <a:r>
                <a:rPr lang="en-GB" kern="0">
                  <a:solidFill>
                    <a:sysClr val="windowText" lastClr="000000"/>
                  </a:solidFill>
                </a:rPr>
                <a:t>= </a:t>
              </a:r>
              <a:r>
                <a:rPr lang="en-GB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∑▒𝑤_𝑝  〖(𝑅〗_𝑝−𝑅_</a:t>
              </a:r>
              <a:r>
                <a:rPr lang="en-GB" b="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𝑝</a:t>
              </a:r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𝑤_𝑝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𝑅_𝑝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Portfolio</a:t>
              </a:r>
            </a:p>
            <a:p>
              <a:r>
                <a:rPr lang="en-GB" sz="1400" i="1" kern="0">
                  <a:solidFill>
                    <a:sysClr val="windowText" lastClr="000000"/>
                  </a:solidFill>
                </a:rPr>
                <a:t>Answer is always zero.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 </a:t>
              </a:r>
              <a:endParaRPr lang="en-GB" sz="1400" i="1" kern="0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twoCellAnchor>
  <xdr:twoCellAnchor editAs="oneCell">
    <xdr:from>
      <xdr:col>11</xdr:col>
      <xdr:colOff>0</xdr:colOff>
      <xdr:row>3</xdr:row>
      <xdr:rowOff>0</xdr:rowOff>
    </xdr:from>
    <xdr:to>
      <xdr:col>14</xdr:col>
      <xdr:colOff>631440</xdr:colOff>
      <xdr:row>5</xdr:row>
      <xdr:rowOff>49003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53F79EAE-5764-4D87-A15C-0D742FA3F1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073243" y="511629"/>
          <a:ext cx="2607197" cy="65316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922564</xdr:colOff>
      <xdr:row>5</xdr:row>
      <xdr:rowOff>44904</xdr:rowOff>
    </xdr:from>
    <xdr:to>
      <xdr:col>17</xdr:col>
      <xdr:colOff>362879</xdr:colOff>
      <xdr:row>13</xdr:row>
      <xdr:rowOff>74180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ontent Placeholder 7">
              <a:extLst>
                <a:ext uri="{FF2B5EF4-FFF2-40B4-BE49-F238E27FC236}">
                  <a16:creationId xmlns:a16="http://schemas.microsoft.com/office/drawing/2014/main" id="{77A4A34B-FD99-4F2E-9AEB-4F64BF04A7F3}"/>
                </a:ext>
              </a:extLst>
            </xdr:cNvPr>
            <xdr:cNvSpPr txBox="1">
              <a:spLocks/>
            </xdr:cNvSpPr>
          </xdr:nvSpPr>
          <xdr:spPr>
            <a:xfrm>
              <a:off x="7862207" y="1226004"/>
              <a:ext cx="6434386" cy="1798205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Allocation Return = </a:t>
              </a:r>
              <a14:m>
                <m:oMath xmlns:m="http://schemas.openxmlformats.org/officeDocument/2006/math">
                  <m:nary>
                    <m:naryPr>
                      <m:chr m:val="∑"/>
                      <m:subHide m:val="on"/>
                      <m:supHide m:val="on"/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naryPr>
                    <m:sub/>
                    <m:sup/>
                    <m:e>
                      <m:sSub>
                        <m:sSubPr>
                          <m:ctrlP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𝑤</m:t>
                          </m:r>
                        </m:e>
                        <m:sub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𝑝</m:t>
                          </m:r>
                        </m:sub>
                      </m:s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−</m:t>
                      </m:r>
                      <m:sSub>
                        <m:sSubPr>
                          <m:ctrlP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𝑤</m:t>
                          </m:r>
                        </m:e>
                        <m:sub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𝑏</m:t>
                          </m:r>
                        </m:sub>
                      </m:s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)</m:t>
                      </m:r>
                    </m:e>
                  </m:nary>
                  <m:sSub>
                    <m:sSubPr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(</m:t>
                      </m:r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  <m:r>
                    <a:rPr lang="en-GB" i="1" kern="0">
                      <a:solidFill>
                        <a:schemeClr val="accent1"/>
                      </a:solidFill>
                      <a:latin typeface="Cambria Math" panose="02040503050406030204" pitchFamily="18" charset="0"/>
                    </a:rPr>
                    <m:t>−</m:t>
                  </m:r>
                  <m:r>
                    <a:rPr lang="en-GB" i="1" kern="0">
                      <a:solidFill>
                        <a:schemeClr val="accent1"/>
                      </a:solidFill>
                      <a:latin typeface="Cambria Math" panose="02040503050406030204" pitchFamily="18" charset="0"/>
                    </a:rPr>
                    <m:t>𝐵</m:t>
                  </m:r>
                </m:oMath>
              </a14:m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𝑤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i="1" kern="0">
                  <a:solidFill>
                    <a:sysClr val="windowText" lastClr="000000"/>
                  </a:solidFill>
                </a:rPr>
                <a:t>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𝑤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Benchmark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Benchmark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:r>
                <a:rPr lang="en-GB" sz="1400" i="1" kern="0">
                  <a:solidFill>
                    <a:schemeClr val="accent1"/>
                  </a:solidFill>
                </a:rPr>
                <a:t>B 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= Total Return of the Benchmark</a:t>
              </a:r>
            </a:p>
          </xdr:txBody>
        </xdr:sp>
      </mc:Choice>
      <mc:Fallback xmlns="">
        <xdr:sp macro="" textlink="">
          <xdr:nvSpPr>
            <xdr:cNvPr id="2" name="Content Placeholder 7">
              <a:extLst>
                <a:ext uri="{FF2B5EF4-FFF2-40B4-BE49-F238E27FC236}">
                  <a16:creationId xmlns:a16="http://schemas.microsoft.com/office/drawing/2014/main" id="{77A4A34B-FD99-4F2E-9AEB-4F64BF04A7F3}"/>
                </a:ext>
              </a:extLst>
            </xdr:cNvPr>
            <xdr:cNvSpPr txBox="1">
              <a:spLocks/>
            </xdr:cNvSpPr>
          </xdr:nvSpPr>
          <xdr:spPr>
            <a:xfrm>
              <a:off x="7862207" y="1226004"/>
              <a:ext cx="6434386" cy="1798205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Allocation Return = </a:t>
              </a:r>
              <a:r>
                <a:rPr lang="en-GB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∑▒〖〖(𝑤〗_𝑝−𝑤_𝑏)〗 〖(𝑅〗_𝑏−𝐵</a:t>
              </a:r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𝑤_𝑝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i="1" kern="0">
                  <a:solidFill>
                    <a:sysClr val="windowText" lastClr="000000"/>
                  </a:solidFill>
                </a:rPr>
                <a:t>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𝑤_𝑏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Benchmark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𝑅_𝑏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Benchmark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:r>
                <a:rPr lang="en-GB" sz="1400" i="1" kern="0">
                  <a:solidFill>
                    <a:schemeClr val="accent1"/>
                  </a:solidFill>
                </a:rPr>
                <a:t>B 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= Total Return of the Benchmark</a:t>
              </a:r>
            </a:p>
          </xdr:txBody>
        </xdr:sp>
      </mc:Fallback>
    </mc:AlternateContent>
    <xdr:clientData/>
  </xdr:twoCellAnchor>
  <xdr:twoCellAnchor>
    <xdr:from>
      <xdr:col>7</xdr:col>
      <xdr:colOff>857250</xdr:colOff>
      <xdr:row>13</xdr:row>
      <xdr:rowOff>0</xdr:rowOff>
    </xdr:from>
    <xdr:to>
      <xdr:col>17</xdr:col>
      <xdr:colOff>497590</xdr:colOff>
      <xdr:row>21</xdr:row>
      <xdr:rowOff>252433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ontent Placeholder 7">
              <a:extLst>
                <a:ext uri="{FF2B5EF4-FFF2-40B4-BE49-F238E27FC236}">
                  <a16:creationId xmlns:a16="http://schemas.microsoft.com/office/drawing/2014/main" id="{C7079FD8-19F2-40F1-A10D-B91D8CB27EB6}"/>
                </a:ext>
              </a:extLst>
            </xdr:cNvPr>
            <xdr:cNvSpPr txBox="1">
              <a:spLocks/>
            </xdr:cNvSpPr>
          </xdr:nvSpPr>
          <xdr:spPr>
            <a:xfrm>
              <a:off x="7796893" y="2950029"/>
              <a:ext cx="6634411" cy="1814533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Selection Return = </a:t>
              </a:r>
              <a14:m>
                <m:oMath xmlns:m="http://schemas.openxmlformats.org/officeDocument/2006/math">
                  <m:nary>
                    <m:naryPr>
                      <m:chr m:val="∑"/>
                      <m:subHide m:val="on"/>
                      <m:supHide m:val="on"/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naryPr>
                    <m:sub/>
                    <m:sup/>
                    <m:e>
                      <m:sSub>
                        <m:sSubPr>
                          <m:ctrlP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𝑤</m:t>
                          </m:r>
                        </m:e>
                        <m:sub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𝑝</m:t>
                          </m:r>
                        </m:sub>
                      </m:sSub>
                    </m:e>
                  </m:nary>
                  <m:sSub>
                    <m:sSubPr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(</m:t>
                      </m:r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  <m:r>
                    <a:rPr lang="en-GB" i="1" kern="0">
                      <a:solidFill>
                        <a:schemeClr val="accent1"/>
                      </a:solidFill>
                      <a:latin typeface="Cambria Math" panose="02040503050406030204" pitchFamily="18" charset="0"/>
                    </a:rPr>
                    <m:t>−</m:t>
                  </m:r>
                  <m:sSub>
                    <m:sSubPr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</m:oMath>
              </a14:m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𝑤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 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Benchmark</a:t>
              </a:r>
            </a:p>
          </xdr:txBody>
        </xdr:sp>
      </mc:Choice>
      <mc:Fallback xmlns="">
        <xdr:sp macro="" textlink="">
          <xdr:nvSpPr>
            <xdr:cNvPr id="3" name="Content Placeholder 7">
              <a:extLst>
                <a:ext uri="{FF2B5EF4-FFF2-40B4-BE49-F238E27FC236}">
                  <a16:creationId xmlns:a16="http://schemas.microsoft.com/office/drawing/2014/main" id="{C7079FD8-19F2-40F1-A10D-B91D8CB27EB6}"/>
                </a:ext>
              </a:extLst>
            </xdr:cNvPr>
            <xdr:cNvSpPr txBox="1">
              <a:spLocks/>
            </xdr:cNvSpPr>
          </xdr:nvSpPr>
          <xdr:spPr>
            <a:xfrm>
              <a:off x="7796893" y="2950029"/>
              <a:ext cx="6634411" cy="1814533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Selection Return = </a:t>
              </a:r>
              <a:r>
                <a:rPr lang="en-GB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∑▒𝑤_𝑝  〖(𝑅〗_𝑝−𝑅_𝑏</a:t>
              </a:r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𝑤_𝑝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𝑅_𝑝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 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𝑅_𝑏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Benchmark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424543</xdr:colOff>
      <xdr:row>1</xdr:row>
      <xdr:rowOff>48986</xdr:rowOff>
    </xdr:from>
    <xdr:to>
      <xdr:col>12</xdr:col>
      <xdr:colOff>397397</xdr:colOff>
      <xdr:row>3</xdr:row>
      <xdr:rowOff>315703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DF8218F2-0B4A-4B6D-A36C-69063F43F6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430986" y="239486"/>
          <a:ext cx="2607197" cy="65316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10</xdr:row>
      <xdr:rowOff>123825</xdr:rowOff>
    </xdr:from>
    <xdr:to>
      <xdr:col>8</xdr:col>
      <xdr:colOff>192790</xdr:colOff>
      <xdr:row>22</xdr:row>
      <xdr:rowOff>23833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ontent Placeholder 7">
              <a:extLst>
                <a:ext uri="{FF2B5EF4-FFF2-40B4-BE49-F238E27FC236}">
                  <a16:creationId xmlns:a16="http://schemas.microsoft.com/office/drawing/2014/main" id="{79AB817B-3B47-448A-BBDF-44A8C5BD4078}"/>
                </a:ext>
              </a:extLst>
            </xdr:cNvPr>
            <xdr:cNvSpPr txBox="1">
              <a:spLocks/>
            </xdr:cNvSpPr>
          </xdr:nvSpPr>
          <xdr:spPr>
            <a:xfrm>
              <a:off x="658586" y="2066925"/>
              <a:ext cx="6631690" cy="1794122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Allocation Return = </a:t>
              </a:r>
              <a14:m>
                <m:oMath xmlns:m="http://schemas.openxmlformats.org/officeDocument/2006/math">
                  <m:nary>
                    <m:naryPr>
                      <m:chr m:val="∑"/>
                      <m:subHide m:val="on"/>
                      <m:supHide m:val="on"/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naryPr>
                    <m:sub/>
                    <m:sup/>
                    <m:e>
                      <m:sSub>
                        <m:sSubPr>
                          <m:ctrlP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𝑤</m:t>
                          </m:r>
                        </m:e>
                        <m:sub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𝑝</m:t>
                          </m:r>
                        </m:sub>
                      </m:s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−</m:t>
                      </m:r>
                      <m:sSub>
                        <m:sSubPr>
                          <m:ctrlP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𝑤</m:t>
                          </m:r>
                        </m:e>
                        <m:sub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𝑏</m:t>
                          </m:r>
                        </m:sub>
                      </m:s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)</m:t>
                      </m:r>
                    </m:e>
                  </m:nary>
                  <m:sSub>
                    <m:sSubPr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(</m:t>
                      </m:r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  <m:r>
                    <a:rPr lang="en-GB" i="1" kern="0">
                      <a:solidFill>
                        <a:schemeClr val="accent1"/>
                      </a:solidFill>
                      <a:latin typeface="Cambria Math" panose="02040503050406030204" pitchFamily="18" charset="0"/>
                    </a:rPr>
                    <m:t>−</m:t>
                  </m:r>
                  <m:r>
                    <a:rPr lang="en-GB" i="1" kern="0">
                      <a:solidFill>
                        <a:schemeClr val="accent1"/>
                      </a:solidFill>
                      <a:latin typeface="Cambria Math" panose="02040503050406030204" pitchFamily="18" charset="0"/>
                    </a:rPr>
                    <m:t>𝐵</m:t>
                  </m:r>
                </m:oMath>
              </a14:m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𝑤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i="1" kern="0">
                  <a:solidFill>
                    <a:sysClr val="windowText" lastClr="000000"/>
                  </a:solidFill>
                </a:rPr>
                <a:t>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𝑤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Benchmark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Benchmark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:r>
                <a:rPr lang="en-GB" sz="1400" i="1" kern="0">
                  <a:solidFill>
                    <a:schemeClr val="accent1"/>
                  </a:solidFill>
                </a:rPr>
                <a:t>B 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= Total Return of the Benchmark</a:t>
              </a:r>
            </a:p>
          </xdr:txBody>
        </xdr:sp>
      </mc:Choice>
      <mc:Fallback xmlns="">
        <xdr:sp macro="" textlink="">
          <xdr:nvSpPr>
            <xdr:cNvPr id="2" name="Content Placeholder 7">
              <a:extLst>
                <a:ext uri="{FF2B5EF4-FFF2-40B4-BE49-F238E27FC236}">
                  <a16:creationId xmlns:a16="http://schemas.microsoft.com/office/drawing/2014/main" id="{79AB817B-3B47-448A-BBDF-44A8C5BD4078}"/>
                </a:ext>
              </a:extLst>
            </xdr:cNvPr>
            <xdr:cNvSpPr txBox="1">
              <a:spLocks/>
            </xdr:cNvSpPr>
          </xdr:nvSpPr>
          <xdr:spPr>
            <a:xfrm>
              <a:off x="658586" y="2066925"/>
              <a:ext cx="6631690" cy="1794122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Allocation Return = </a:t>
              </a:r>
              <a:r>
                <a:rPr lang="en-GB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∑▒〖〖(𝑤〗_𝑝−𝑤_𝑏)〗 〖(𝑅〗_𝑏−𝐵</a:t>
              </a:r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𝑤_𝑝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i="1" kern="0">
                  <a:solidFill>
                    <a:sysClr val="windowText" lastClr="000000"/>
                  </a:solidFill>
                </a:rPr>
                <a:t>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𝑤_𝑏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Benchmark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𝑅_𝑏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Benchmark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:r>
                <a:rPr lang="en-GB" sz="1400" i="1" kern="0">
                  <a:solidFill>
                    <a:schemeClr val="accent1"/>
                  </a:solidFill>
                </a:rPr>
                <a:t>B 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= Total Return of the Benchmark</a:t>
              </a:r>
            </a:p>
          </xdr:txBody>
        </xdr:sp>
      </mc:Fallback>
    </mc:AlternateContent>
    <xdr:clientData/>
  </xdr:twoCellAnchor>
  <xdr:twoCellAnchor>
    <xdr:from>
      <xdr:col>1</xdr:col>
      <xdr:colOff>28575</xdr:colOff>
      <xdr:row>22</xdr:row>
      <xdr:rowOff>38100</xdr:rowOff>
    </xdr:from>
    <xdr:to>
      <xdr:col>8</xdr:col>
      <xdr:colOff>221365</xdr:colOff>
      <xdr:row>33</xdr:row>
      <xdr:rowOff>100033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ontent Placeholder 7">
              <a:extLst>
                <a:ext uri="{FF2B5EF4-FFF2-40B4-BE49-F238E27FC236}">
                  <a16:creationId xmlns:a16="http://schemas.microsoft.com/office/drawing/2014/main" id="{C303A9B3-FE79-429C-B523-D69374B88EBC}"/>
                </a:ext>
              </a:extLst>
            </xdr:cNvPr>
            <xdr:cNvSpPr txBox="1">
              <a:spLocks/>
            </xdr:cNvSpPr>
          </xdr:nvSpPr>
          <xdr:spPr>
            <a:xfrm>
              <a:off x="687161" y="3875314"/>
              <a:ext cx="6631690" cy="1798205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Selection Return = </a:t>
              </a:r>
              <a14:m>
                <m:oMath xmlns:m="http://schemas.openxmlformats.org/officeDocument/2006/math">
                  <m:nary>
                    <m:naryPr>
                      <m:chr m:val="∑"/>
                      <m:subHide m:val="on"/>
                      <m:supHide m:val="on"/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naryPr>
                    <m:sub/>
                    <m:sup/>
                    <m:e>
                      <m:sSub>
                        <m:sSubPr>
                          <m:ctrlP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𝑤</m:t>
                          </m:r>
                        </m:e>
                        <m:sub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𝑝</m:t>
                          </m:r>
                        </m:sub>
                      </m:sSub>
                    </m:e>
                  </m:nary>
                  <m:sSub>
                    <m:sSubPr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(</m:t>
                      </m:r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  <m:r>
                    <a:rPr lang="en-GB" i="1" kern="0">
                      <a:solidFill>
                        <a:schemeClr val="accent1"/>
                      </a:solidFill>
                      <a:latin typeface="Cambria Math" panose="02040503050406030204" pitchFamily="18" charset="0"/>
                    </a:rPr>
                    <m:t>−</m:t>
                  </m:r>
                  <m:sSub>
                    <m:sSubPr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</m:oMath>
              </a14:m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𝑤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 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Benchmark</a:t>
              </a:r>
            </a:p>
          </xdr:txBody>
        </xdr:sp>
      </mc:Choice>
      <mc:Fallback xmlns="">
        <xdr:sp macro="" textlink="">
          <xdr:nvSpPr>
            <xdr:cNvPr id="3" name="Content Placeholder 7">
              <a:extLst>
                <a:ext uri="{FF2B5EF4-FFF2-40B4-BE49-F238E27FC236}">
                  <a16:creationId xmlns:a16="http://schemas.microsoft.com/office/drawing/2014/main" id="{C303A9B3-FE79-429C-B523-D69374B88EBC}"/>
                </a:ext>
              </a:extLst>
            </xdr:cNvPr>
            <xdr:cNvSpPr txBox="1">
              <a:spLocks/>
            </xdr:cNvSpPr>
          </xdr:nvSpPr>
          <xdr:spPr>
            <a:xfrm>
              <a:off x="687161" y="3875314"/>
              <a:ext cx="6631690" cy="1798205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Selection Return = </a:t>
              </a:r>
              <a:r>
                <a:rPr lang="en-GB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∑▒𝑤_𝑝  〖(𝑅〗_𝑝−𝑅_𝑏</a:t>
              </a:r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𝑤_𝑝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𝑅_𝑝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 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𝑅_𝑏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Benchmark</a:t>
              </a:r>
            </a:p>
          </xdr:txBody>
        </xdr:sp>
      </mc:Fallback>
    </mc:AlternateContent>
    <xdr:clientData/>
  </xdr:twoCellAnchor>
  <xdr:twoCellAnchor>
    <xdr:from>
      <xdr:col>7</xdr:col>
      <xdr:colOff>76200</xdr:colOff>
      <xdr:row>10</xdr:row>
      <xdr:rowOff>114300</xdr:rowOff>
    </xdr:from>
    <xdr:to>
      <xdr:col>16</xdr:col>
      <xdr:colOff>364240</xdr:colOff>
      <xdr:row>22</xdr:row>
      <xdr:rowOff>14308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ontent Placeholder 7">
              <a:extLst>
                <a:ext uri="{FF2B5EF4-FFF2-40B4-BE49-F238E27FC236}">
                  <a16:creationId xmlns:a16="http://schemas.microsoft.com/office/drawing/2014/main" id="{05800F37-580E-4A5B-B25C-F483D797B8B8}"/>
                </a:ext>
              </a:extLst>
            </xdr:cNvPr>
            <xdr:cNvSpPr txBox="1">
              <a:spLocks/>
            </xdr:cNvSpPr>
          </xdr:nvSpPr>
          <xdr:spPr>
            <a:xfrm>
              <a:off x="6297386" y="2057400"/>
              <a:ext cx="6433025" cy="1794122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Allocation Return where the benchmark allocation is 0% </a:t>
              </a:r>
            </a:p>
            <a:p>
              <a:r>
                <a:rPr lang="en-GB" kern="0">
                  <a:solidFill>
                    <a:sysClr val="windowText" lastClr="000000"/>
                  </a:solidFill>
                  <a:highlight>
                    <a:srgbClr val="FFFF00"/>
                  </a:highlight>
                </a:rPr>
                <a:t>Change to formula below</a:t>
              </a:r>
            </a:p>
            <a:p>
              <a:r>
                <a:rPr lang="en-GB" kern="0">
                  <a:solidFill>
                    <a:sysClr val="windowText" lastClr="000000"/>
                  </a:solidFill>
                </a:rPr>
                <a:t>= </a:t>
              </a:r>
              <a14:m>
                <m:oMath xmlns:m="http://schemas.openxmlformats.org/officeDocument/2006/math">
                  <m:nary>
                    <m:naryPr>
                      <m:chr m:val="∑"/>
                      <m:subHide m:val="on"/>
                      <m:supHide m:val="on"/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naryPr>
                    <m:sub/>
                    <m:sup/>
                    <m:e>
                      <m:sSub>
                        <m:sSubPr>
                          <m:ctrlP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𝑤</m:t>
                          </m:r>
                        </m:e>
                        <m:sub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𝑝</m:t>
                          </m:r>
                        </m:sub>
                      </m:sSub>
                    </m:e>
                  </m:nary>
                  <m:sSub>
                    <m:sSubPr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(</m:t>
                      </m:r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  <m:r>
                    <a:rPr lang="en-GB" i="1" kern="0">
                      <a:solidFill>
                        <a:schemeClr val="accent1"/>
                      </a:solidFill>
                      <a:latin typeface="Cambria Math" panose="02040503050406030204" pitchFamily="18" charset="0"/>
                    </a:rPr>
                    <m:t>−</m:t>
                  </m:r>
                  <m:r>
                    <a:rPr lang="en-GB" b="0" i="1" kern="0">
                      <a:solidFill>
                        <a:schemeClr val="accent1"/>
                      </a:solidFill>
                      <a:latin typeface="Cambria Math" panose="02040503050406030204" pitchFamily="18" charset="0"/>
                    </a:rPr>
                    <m:t>𝐵</m:t>
                  </m:r>
                </m:oMath>
              </a14:m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𝑤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 </a:t>
              </a:r>
              <a:r>
                <a:rPr lang="en-GB" sz="1400" i="1" kern="0">
                  <a:solidFill>
                    <a:schemeClr val="accent1"/>
                  </a:solidFill>
                </a:rPr>
                <a:t>B 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= Total Return of the Benchmark</a:t>
              </a:r>
            </a:p>
          </xdr:txBody>
        </xdr:sp>
      </mc:Choice>
      <mc:Fallback xmlns="">
        <xdr:sp macro="" textlink="">
          <xdr:nvSpPr>
            <xdr:cNvPr id="4" name="Content Placeholder 7">
              <a:extLst>
                <a:ext uri="{FF2B5EF4-FFF2-40B4-BE49-F238E27FC236}">
                  <a16:creationId xmlns:a16="http://schemas.microsoft.com/office/drawing/2014/main" id="{05800F37-580E-4A5B-B25C-F483D797B8B8}"/>
                </a:ext>
              </a:extLst>
            </xdr:cNvPr>
            <xdr:cNvSpPr txBox="1">
              <a:spLocks/>
            </xdr:cNvSpPr>
          </xdr:nvSpPr>
          <xdr:spPr>
            <a:xfrm>
              <a:off x="6297386" y="2057400"/>
              <a:ext cx="6433025" cy="1794122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Allocation Return where the benchmark allocation is 0% </a:t>
              </a:r>
            </a:p>
            <a:p>
              <a:r>
                <a:rPr lang="en-GB" kern="0">
                  <a:solidFill>
                    <a:sysClr val="windowText" lastClr="000000"/>
                  </a:solidFill>
                  <a:highlight>
                    <a:srgbClr val="FFFF00"/>
                  </a:highlight>
                </a:rPr>
                <a:t>Change to formula below</a:t>
              </a:r>
            </a:p>
            <a:p>
              <a:r>
                <a:rPr lang="en-GB" kern="0">
                  <a:solidFill>
                    <a:sysClr val="windowText" lastClr="000000"/>
                  </a:solidFill>
                </a:rPr>
                <a:t>= </a:t>
              </a:r>
              <a:r>
                <a:rPr lang="en-GB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∑▒𝑤_𝑝  〖(𝑅〗_𝑝−</a:t>
              </a:r>
              <a:r>
                <a:rPr lang="en-GB" b="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𝐵</a:t>
              </a:r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𝑤_𝑝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𝑅_𝑝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 </a:t>
              </a:r>
              <a:r>
                <a:rPr lang="en-GB" sz="1400" i="1" kern="0">
                  <a:solidFill>
                    <a:schemeClr val="accent1"/>
                  </a:solidFill>
                </a:rPr>
                <a:t>B 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= Total Return of the Benchmark</a:t>
              </a:r>
            </a:p>
          </xdr:txBody>
        </xdr:sp>
      </mc:Fallback>
    </mc:AlternateContent>
    <xdr:clientData/>
  </xdr:twoCellAnchor>
  <xdr:twoCellAnchor>
    <xdr:from>
      <xdr:col>7</xdr:col>
      <xdr:colOff>66675</xdr:colOff>
      <xdr:row>22</xdr:row>
      <xdr:rowOff>47625</xdr:rowOff>
    </xdr:from>
    <xdr:to>
      <xdr:col>16</xdr:col>
      <xdr:colOff>354715</xdr:colOff>
      <xdr:row>33</xdr:row>
      <xdr:rowOff>109558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ontent Placeholder 7">
              <a:extLst>
                <a:ext uri="{FF2B5EF4-FFF2-40B4-BE49-F238E27FC236}">
                  <a16:creationId xmlns:a16="http://schemas.microsoft.com/office/drawing/2014/main" id="{E9811E00-F23C-4D9A-B5F1-AF2EC9AA37F3}"/>
                </a:ext>
              </a:extLst>
            </xdr:cNvPr>
            <xdr:cNvSpPr txBox="1">
              <a:spLocks/>
            </xdr:cNvSpPr>
          </xdr:nvSpPr>
          <xdr:spPr>
            <a:xfrm>
              <a:off x="6287861" y="3884839"/>
              <a:ext cx="6433025" cy="1798205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Selection Return where the benchmark allocation is 0% </a:t>
              </a:r>
            </a:p>
            <a:p>
              <a:r>
                <a:rPr lang="en-GB" kern="0">
                  <a:solidFill>
                    <a:sysClr val="windowText" lastClr="000000"/>
                  </a:solidFill>
                  <a:highlight>
                    <a:srgbClr val="FFFF00"/>
                  </a:highlight>
                </a:rPr>
                <a:t>Change to formula below</a:t>
              </a:r>
            </a:p>
            <a:p>
              <a:r>
                <a:rPr lang="en-GB" kern="0">
                  <a:solidFill>
                    <a:sysClr val="windowText" lastClr="000000"/>
                  </a:solidFill>
                </a:rPr>
                <a:t>= </a:t>
              </a:r>
              <a14:m>
                <m:oMath xmlns:m="http://schemas.openxmlformats.org/officeDocument/2006/math">
                  <m:nary>
                    <m:naryPr>
                      <m:chr m:val="∑"/>
                      <m:subHide m:val="on"/>
                      <m:supHide m:val="on"/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naryPr>
                    <m:sub/>
                    <m:sup/>
                    <m:e>
                      <m:sSub>
                        <m:sSubPr>
                          <m:ctrlP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𝑤</m:t>
                          </m:r>
                        </m:e>
                        <m:sub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𝑝</m:t>
                          </m:r>
                        </m:sub>
                      </m:sSub>
                    </m:e>
                  </m:nary>
                  <m:sSub>
                    <m:sSubPr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(</m:t>
                      </m:r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  <m:r>
                    <a:rPr lang="en-GB" i="1" kern="0">
                      <a:solidFill>
                        <a:schemeClr val="accent1"/>
                      </a:solidFill>
                      <a:latin typeface="Cambria Math" panose="02040503050406030204" pitchFamily="18" charset="0"/>
                    </a:rPr>
                    <m:t>−</m:t>
                  </m:r>
                  <m:sSub>
                    <m:sSubPr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b="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𝑤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Portfolio</a:t>
              </a:r>
            </a:p>
            <a:p>
              <a:r>
                <a:rPr lang="en-GB" sz="1400" i="1" kern="0">
                  <a:solidFill>
                    <a:sysClr val="windowText" lastClr="000000"/>
                  </a:solidFill>
                </a:rPr>
                <a:t>Answer is always zero.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 </a:t>
              </a:r>
              <a:endParaRPr lang="en-GB" sz="1400" i="1" kern="0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5" name="Content Placeholder 7">
              <a:extLst>
                <a:ext uri="{FF2B5EF4-FFF2-40B4-BE49-F238E27FC236}">
                  <a16:creationId xmlns:a16="http://schemas.microsoft.com/office/drawing/2014/main" id="{E9811E00-F23C-4D9A-B5F1-AF2EC9AA37F3}"/>
                </a:ext>
              </a:extLst>
            </xdr:cNvPr>
            <xdr:cNvSpPr txBox="1">
              <a:spLocks/>
            </xdr:cNvSpPr>
          </xdr:nvSpPr>
          <xdr:spPr>
            <a:xfrm>
              <a:off x="6287861" y="3884839"/>
              <a:ext cx="6433025" cy="1798205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Selection Return where the benchmark allocation is 0% </a:t>
              </a:r>
            </a:p>
            <a:p>
              <a:r>
                <a:rPr lang="en-GB" kern="0">
                  <a:solidFill>
                    <a:sysClr val="windowText" lastClr="000000"/>
                  </a:solidFill>
                  <a:highlight>
                    <a:srgbClr val="FFFF00"/>
                  </a:highlight>
                </a:rPr>
                <a:t>Change to formula below</a:t>
              </a:r>
            </a:p>
            <a:p>
              <a:r>
                <a:rPr lang="en-GB" kern="0">
                  <a:solidFill>
                    <a:sysClr val="windowText" lastClr="000000"/>
                  </a:solidFill>
                </a:rPr>
                <a:t>= </a:t>
              </a:r>
              <a:r>
                <a:rPr lang="en-GB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∑▒𝑤_𝑝  〖(𝑅〗_𝑝−𝑅_</a:t>
              </a:r>
              <a:r>
                <a:rPr lang="en-GB" b="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𝑝</a:t>
              </a:r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𝑤_𝑝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𝑅_𝑝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Portfolio</a:t>
              </a:r>
            </a:p>
            <a:p>
              <a:r>
                <a:rPr lang="en-GB" sz="1400" i="1" kern="0">
                  <a:solidFill>
                    <a:sysClr val="windowText" lastClr="000000"/>
                  </a:solidFill>
                </a:rPr>
                <a:t>Answer is always zero.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 </a:t>
              </a:r>
              <a:endParaRPr lang="en-GB" sz="1400" i="1" kern="0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twoCellAnchor>
  <xdr:twoCellAnchor editAs="oneCell">
    <xdr:from>
      <xdr:col>11</xdr:col>
      <xdr:colOff>0</xdr:colOff>
      <xdr:row>3</xdr:row>
      <xdr:rowOff>0</xdr:rowOff>
    </xdr:from>
    <xdr:to>
      <xdr:col>14</xdr:col>
      <xdr:colOff>631440</xdr:colOff>
      <xdr:row>5</xdr:row>
      <xdr:rowOff>49003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CCD74828-62CA-43E3-93F0-7684E132DF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073243" y="353786"/>
          <a:ext cx="2607197" cy="65316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840383</xdr:colOff>
      <xdr:row>0</xdr:row>
      <xdr:rowOff>0</xdr:rowOff>
    </xdr:from>
    <xdr:to>
      <xdr:col>18</xdr:col>
      <xdr:colOff>68680</xdr:colOff>
      <xdr:row>11</xdr:row>
      <xdr:rowOff>148320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D8F83C-D5A0-1924-4D81-8F2BC0A9F4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149957</xdr:colOff>
      <xdr:row>12</xdr:row>
      <xdr:rowOff>43544</xdr:rowOff>
    </xdr:from>
    <xdr:to>
      <xdr:col>24</xdr:col>
      <xdr:colOff>92357</xdr:colOff>
      <xdr:row>24</xdr:row>
      <xdr:rowOff>123284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F0DEBF4-22B3-4FE0-BF9A-EBA0373561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840383</xdr:colOff>
      <xdr:row>12</xdr:row>
      <xdr:rowOff>49529</xdr:rowOff>
    </xdr:from>
    <xdr:to>
      <xdr:col>18</xdr:col>
      <xdr:colOff>68680</xdr:colOff>
      <xdr:row>24</xdr:row>
      <xdr:rowOff>129269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D0DCDAD-4AA4-4394-9140-981D642AAA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144780</xdr:colOff>
      <xdr:row>16</xdr:row>
      <xdr:rowOff>83820</xdr:rowOff>
    </xdr:from>
    <xdr:to>
      <xdr:col>1</xdr:col>
      <xdr:colOff>255180</xdr:colOff>
      <xdr:row>19</xdr:row>
      <xdr:rowOff>22860</xdr:rowOff>
    </xdr:to>
    <xdr:sp macro="[0]!ThisWorkbook.Scenario1" textlink="">
      <xdr:nvSpPr>
        <xdr:cNvPr id="6" name="Rectangle 5">
          <a:extLst>
            <a:ext uri="{FF2B5EF4-FFF2-40B4-BE49-F238E27FC236}">
              <a16:creationId xmlns:a16="http://schemas.microsoft.com/office/drawing/2014/main" id="{01039807-C3EE-4568-8AD6-52D762689E7E}"/>
            </a:ext>
          </a:extLst>
        </xdr:cNvPr>
        <xdr:cNvSpPr/>
      </xdr:nvSpPr>
      <xdr:spPr>
        <a:xfrm>
          <a:off x="144780" y="2933700"/>
          <a:ext cx="720000" cy="510540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1</a:t>
          </a:r>
        </a:p>
      </xdr:txBody>
    </xdr:sp>
    <xdr:clientData/>
  </xdr:twoCellAnchor>
  <xdr:twoCellAnchor>
    <xdr:from>
      <xdr:col>0</xdr:col>
      <xdr:colOff>144780</xdr:colOff>
      <xdr:row>19</xdr:row>
      <xdr:rowOff>76200</xdr:rowOff>
    </xdr:from>
    <xdr:to>
      <xdr:col>1</xdr:col>
      <xdr:colOff>255180</xdr:colOff>
      <xdr:row>22</xdr:row>
      <xdr:rowOff>83820</xdr:rowOff>
    </xdr:to>
    <xdr:sp macro="[0]!ThisWorkbook.Scenario2" textlink="">
      <xdr:nvSpPr>
        <xdr:cNvPr id="7" name="Rectangle 6">
          <a:extLst>
            <a:ext uri="{FF2B5EF4-FFF2-40B4-BE49-F238E27FC236}">
              <a16:creationId xmlns:a16="http://schemas.microsoft.com/office/drawing/2014/main" id="{EFCEB373-F4A9-434D-8C9F-3DB0990623A6}"/>
            </a:ext>
          </a:extLst>
        </xdr:cNvPr>
        <xdr:cNvSpPr/>
      </xdr:nvSpPr>
      <xdr:spPr>
        <a:xfrm>
          <a:off x="144780" y="3497580"/>
          <a:ext cx="720000" cy="510540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2</a:t>
          </a:r>
        </a:p>
      </xdr:txBody>
    </xdr:sp>
    <xdr:clientData/>
  </xdr:twoCellAnchor>
  <xdr:twoCellAnchor>
    <xdr:from>
      <xdr:col>18</xdr:col>
      <xdr:colOff>144786</xdr:colOff>
      <xdr:row>0</xdr:row>
      <xdr:rowOff>0</xdr:rowOff>
    </xdr:from>
    <xdr:to>
      <xdr:col>24</xdr:col>
      <xdr:colOff>87186</xdr:colOff>
      <xdr:row>11</xdr:row>
      <xdr:rowOff>148320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A577DFD-D72D-40AD-8398-54C1EE35A9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527957</xdr:colOff>
      <xdr:row>21</xdr:row>
      <xdr:rowOff>125185</xdr:rowOff>
    </xdr:from>
    <xdr:to>
      <xdr:col>11</xdr:col>
      <xdr:colOff>638357</xdr:colOff>
      <xdr:row>24</xdr:row>
      <xdr:rowOff>129539</xdr:rowOff>
    </xdr:to>
    <xdr:sp macro="[0]!ThisWorkbook.ResetSheet" textlink="">
      <xdr:nvSpPr>
        <xdr:cNvPr id="3" name="Rectangle 2">
          <a:extLst>
            <a:ext uri="{FF2B5EF4-FFF2-40B4-BE49-F238E27FC236}">
              <a16:creationId xmlns:a16="http://schemas.microsoft.com/office/drawing/2014/main" id="{F752AF81-FFE4-4523-8C2E-D60BDE536464}"/>
            </a:ext>
          </a:extLst>
        </xdr:cNvPr>
        <xdr:cNvSpPr/>
      </xdr:nvSpPr>
      <xdr:spPr>
        <a:xfrm>
          <a:off x="6553200" y="3695699"/>
          <a:ext cx="763543" cy="510540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Reset Scenario</a:t>
          </a:r>
          <a:endParaRPr lang="en-GB" sz="1200" b="1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53340</xdr:colOff>
      <xdr:row>0</xdr:row>
      <xdr:rowOff>53340</xdr:rowOff>
    </xdr:from>
    <xdr:to>
      <xdr:col>15</xdr:col>
      <xdr:colOff>525780</xdr:colOff>
      <xdr:row>5</xdr:row>
      <xdr:rowOff>53340</xdr:rowOff>
    </xdr:to>
    <xdr:sp macro="[0]!ThisWorkbook.AttributeForMe" textlink="">
      <xdr:nvSpPr>
        <xdr:cNvPr id="2" name="Rectangle 1">
          <a:extLst>
            <a:ext uri="{FF2B5EF4-FFF2-40B4-BE49-F238E27FC236}">
              <a16:creationId xmlns:a16="http://schemas.microsoft.com/office/drawing/2014/main" id="{DBB01713-2E34-4C25-9E86-D0D593033B27}"/>
            </a:ext>
          </a:extLst>
        </xdr:cNvPr>
        <xdr:cNvSpPr/>
      </xdr:nvSpPr>
      <xdr:spPr>
        <a:xfrm>
          <a:off x="10698480" y="53340"/>
          <a:ext cx="1082040" cy="1188720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/>
            <a:t>I'm</a:t>
          </a:r>
          <a:r>
            <a:rPr lang="en-GB" sz="1200" b="1" baseline="0"/>
            <a:t> too tired - attribute for me</a:t>
          </a:r>
          <a:endParaRPr lang="en-GB" sz="12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CAIM colours">
      <a:dk1>
        <a:srgbClr val="2C2824"/>
      </a:dk1>
      <a:lt1>
        <a:srgbClr val="ECE9E7"/>
      </a:lt1>
      <a:dk2>
        <a:srgbClr val="675D54"/>
      </a:dk2>
      <a:lt2>
        <a:srgbClr val="FFFFFF"/>
      </a:lt2>
      <a:accent1>
        <a:srgbClr val="28234B"/>
      </a:accent1>
      <a:accent2>
        <a:srgbClr val="9A221D"/>
      </a:accent2>
      <a:accent3>
        <a:srgbClr val="707070"/>
      </a:accent3>
      <a:accent4>
        <a:srgbClr val="548BE9"/>
      </a:accent4>
      <a:accent5>
        <a:srgbClr val="84ACB3"/>
      </a:accent5>
      <a:accent6>
        <a:srgbClr val="E6BE8A"/>
      </a:accent6>
      <a:hlink>
        <a:srgbClr val="2F6039"/>
      </a:hlink>
      <a:folHlink>
        <a:srgbClr val="2F6039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75891-1081-4830-B8EC-1C0EBA3CFE72}">
  <sheetPr codeName="Sheet2">
    <tabColor theme="4" tint="0.79998168889431442"/>
  </sheetPr>
  <dimension ref="A2:I48"/>
  <sheetViews>
    <sheetView showGridLines="0" workbookViewId="0">
      <selection activeCell="G4" sqref="G4"/>
    </sheetView>
  </sheetViews>
  <sheetFormatPr defaultColWidth="9.3046875" defaultRowHeight="15" x14ac:dyDescent="0.35"/>
  <cols>
    <col min="1" max="1" width="9.3046875" style="12"/>
    <col min="2" max="2" width="14.3046875" style="13" customWidth="1"/>
    <col min="3" max="6" width="14.84375" style="13" customWidth="1"/>
    <col min="7" max="8" width="15.07421875" style="13" customWidth="1"/>
    <col min="9" max="28" width="9.3046875" style="13"/>
    <col min="29" max="30" width="9.3046875" style="13" customWidth="1"/>
    <col min="31" max="16384" width="9.3046875" style="13"/>
  </cols>
  <sheetData>
    <row r="2" spans="1:8" x14ac:dyDescent="0.35">
      <c r="A2" s="12">
        <v>1</v>
      </c>
      <c r="B2" s="13" t="s">
        <v>117</v>
      </c>
    </row>
    <row r="3" spans="1:8" ht="15.45" thickBot="1" x14ac:dyDescent="0.4"/>
    <row r="4" spans="1:8" ht="31.75" thickTop="1" thickBot="1" x14ac:dyDescent="0.45">
      <c r="C4" s="3" t="s">
        <v>0</v>
      </c>
      <c r="D4" s="3" t="s">
        <v>1</v>
      </c>
      <c r="E4" s="4" t="s">
        <v>2</v>
      </c>
    </row>
    <row r="5" spans="1:8" ht="15.9" thickTop="1" thickBot="1" x14ac:dyDescent="0.4">
      <c r="B5" s="14" t="s">
        <v>3</v>
      </c>
      <c r="C5" s="15">
        <v>20</v>
      </c>
      <c r="D5" s="12">
        <v>11</v>
      </c>
      <c r="E5" s="70"/>
      <c r="F5" s="17"/>
    </row>
    <row r="6" spans="1:8" ht="15.45" thickBot="1" x14ac:dyDescent="0.4">
      <c r="B6" s="14" t="s">
        <v>4</v>
      </c>
      <c r="C6" s="15">
        <v>30</v>
      </c>
      <c r="D6" s="12">
        <v>5</v>
      </c>
      <c r="E6" s="71"/>
      <c r="F6" s="17"/>
    </row>
    <row r="7" spans="1:8" ht="15.45" thickBot="1" x14ac:dyDescent="0.4">
      <c r="B7" s="14" t="s">
        <v>5</v>
      </c>
      <c r="C7" s="15">
        <v>50</v>
      </c>
      <c r="D7" s="12">
        <v>8</v>
      </c>
      <c r="E7" s="70"/>
      <c r="F7" s="17"/>
    </row>
    <row r="8" spans="1:8" ht="15.45" x14ac:dyDescent="0.4">
      <c r="B8" s="18" t="s">
        <v>6</v>
      </c>
      <c r="C8" s="19">
        <f>SUM(C5:C7)</f>
        <v>100</v>
      </c>
      <c r="D8" s="20"/>
      <c r="E8" s="72" t="str">
        <f>IF(E7="","",SUM(E5:E7))</f>
        <v/>
      </c>
      <c r="F8" s="26" t="str">
        <f>IF(E7="","",IF(FIXED(SUM(E5:E7),2)="7.70","Correct","Try again"))</f>
        <v/>
      </c>
    </row>
    <row r="10" spans="1:8" x14ac:dyDescent="0.35">
      <c r="A10" s="12">
        <v>2</v>
      </c>
      <c r="B10" s="13" t="s">
        <v>7</v>
      </c>
    </row>
    <row r="11" spans="1:8" ht="15.45" thickBot="1" x14ac:dyDescent="0.4"/>
    <row r="12" spans="1:8" ht="31.75" thickTop="1" thickBot="1" x14ac:dyDescent="0.45">
      <c r="C12" s="3" t="s">
        <v>0</v>
      </c>
      <c r="D12" s="3" t="s">
        <v>1</v>
      </c>
      <c r="E12" s="3" t="s">
        <v>8</v>
      </c>
      <c r="F12" s="3" t="s">
        <v>9</v>
      </c>
      <c r="G12" s="4" t="s">
        <v>10</v>
      </c>
    </row>
    <row r="13" spans="1:8" ht="15.9" thickTop="1" thickBot="1" x14ac:dyDescent="0.4">
      <c r="B13" s="14" t="s">
        <v>3</v>
      </c>
      <c r="C13" s="15">
        <v>20</v>
      </c>
      <c r="D13" s="12">
        <v>11</v>
      </c>
      <c r="E13" s="21">
        <v>30</v>
      </c>
      <c r="F13" s="22">
        <v>10</v>
      </c>
      <c r="G13" s="16"/>
      <c r="H13" s="17"/>
    </row>
    <row r="14" spans="1:8" ht="15.45" thickBot="1" x14ac:dyDescent="0.4">
      <c r="B14" s="14" t="s">
        <v>4</v>
      </c>
      <c r="C14" s="15">
        <v>30</v>
      </c>
      <c r="D14" s="12">
        <v>5</v>
      </c>
      <c r="E14" s="21">
        <v>40</v>
      </c>
      <c r="F14" s="22">
        <v>8</v>
      </c>
      <c r="G14" s="16"/>
      <c r="H14" s="17"/>
    </row>
    <row r="15" spans="1:8" ht="15.45" thickBot="1" x14ac:dyDescent="0.4">
      <c r="B15" s="14" t="s">
        <v>5</v>
      </c>
      <c r="C15" s="15">
        <v>50</v>
      </c>
      <c r="D15" s="12">
        <v>8</v>
      </c>
      <c r="E15" s="21">
        <v>30</v>
      </c>
      <c r="F15" s="22">
        <v>5</v>
      </c>
      <c r="G15" s="16"/>
      <c r="H15" s="17"/>
    </row>
    <row r="16" spans="1:8" ht="15.45" x14ac:dyDescent="0.4">
      <c r="B16" s="23" t="s">
        <v>6</v>
      </c>
      <c r="C16" s="19">
        <f>SUM(C13:C15)</f>
        <v>100</v>
      </c>
      <c r="D16" s="24">
        <f>SUMPRODUCT(C13:C15,D13:D15)/100</f>
        <v>7.7</v>
      </c>
      <c r="E16" s="19">
        <f>SUM(E13:E15)</f>
        <v>100</v>
      </c>
      <c r="F16" s="24">
        <f>SUMPRODUCT(E13:E15,F13:F15)/100</f>
        <v>7.7</v>
      </c>
      <c r="G16" s="25" t="str">
        <f>IF(G15="","",SUM(G13:G15))</f>
        <v/>
      </c>
      <c r="H16" s="26" t="str">
        <f>IF(G15="","",IF(FIXED(SUM(G13:G15),2)="-0.80","Correct","Try again"))</f>
        <v/>
      </c>
    </row>
    <row r="17" spans="1:8" ht="15.45" x14ac:dyDescent="0.4">
      <c r="B17" s="14"/>
      <c r="C17" s="27"/>
    </row>
    <row r="18" spans="1:8" ht="15.45" x14ac:dyDescent="0.4">
      <c r="B18" s="14"/>
      <c r="C18" s="27"/>
    </row>
    <row r="19" spans="1:8" ht="15.45" x14ac:dyDescent="0.4">
      <c r="B19" s="14"/>
      <c r="C19" s="27"/>
    </row>
    <row r="20" spans="1:8" x14ac:dyDescent="0.35">
      <c r="A20" s="12">
        <v>3</v>
      </c>
      <c r="B20" s="14" t="s">
        <v>11</v>
      </c>
    </row>
    <row r="21" spans="1:8" ht="15.45" thickBot="1" x14ac:dyDescent="0.4">
      <c r="B21" s="14"/>
    </row>
    <row r="22" spans="1:8" ht="31.75" thickTop="1" thickBot="1" x14ac:dyDescent="0.45">
      <c r="B22" s="14"/>
      <c r="C22" s="3" t="s">
        <v>0</v>
      </c>
      <c r="D22" s="3" t="s">
        <v>1</v>
      </c>
      <c r="E22" s="3" t="s">
        <v>8</v>
      </c>
      <c r="F22" s="3" t="s">
        <v>9</v>
      </c>
      <c r="G22" s="4" t="s">
        <v>12</v>
      </c>
    </row>
    <row r="23" spans="1:8" ht="15.9" thickTop="1" thickBot="1" x14ac:dyDescent="0.4">
      <c r="B23" s="14" t="s">
        <v>3</v>
      </c>
      <c r="C23" s="15">
        <v>20</v>
      </c>
      <c r="D23" s="12">
        <v>11</v>
      </c>
      <c r="E23" s="21">
        <v>30</v>
      </c>
      <c r="F23" s="22">
        <v>10</v>
      </c>
      <c r="G23" s="16"/>
      <c r="H23" s="17"/>
    </row>
    <row r="24" spans="1:8" ht="15.45" thickBot="1" x14ac:dyDescent="0.4">
      <c r="B24" s="14" t="s">
        <v>4</v>
      </c>
      <c r="C24" s="15">
        <v>30</v>
      </c>
      <c r="D24" s="12">
        <v>5</v>
      </c>
      <c r="E24" s="21">
        <v>40</v>
      </c>
      <c r="F24" s="22">
        <v>8</v>
      </c>
      <c r="G24" s="16"/>
      <c r="H24" s="17"/>
    </row>
    <row r="25" spans="1:8" ht="15.45" thickBot="1" x14ac:dyDescent="0.4">
      <c r="B25" s="14" t="s">
        <v>5</v>
      </c>
      <c r="C25" s="15">
        <v>50</v>
      </c>
      <c r="D25" s="12">
        <v>8</v>
      </c>
      <c r="E25" s="21">
        <v>30</v>
      </c>
      <c r="F25" s="22">
        <v>5</v>
      </c>
      <c r="G25" s="16"/>
      <c r="H25" s="17"/>
    </row>
    <row r="26" spans="1:8" ht="15.45" x14ac:dyDescent="0.4">
      <c r="B26" s="23" t="s">
        <v>6</v>
      </c>
      <c r="C26" s="19">
        <f>SUM(C23:C25)</f>
        <v>100</v>
      </c>
      <c r="D26" s="24">
        <f>SUMPRODUCT(C23:C25/100,D23:D25)</f>
        <v>7.7</v>
      </c>
      <c r="E26" s="19">
        <f>SUM(E23:E25)</f>
        <v>100</v>
      </c>
      <c r="F26" s="24">
        <f>SUMPRODUCT(E23:E25/100,F23:F25)</f>
        <v>7.7</v>
      </c>
      <c r="G26" s="25" t="str">
        <f>IF(G25="","",SUM(G23:G25))</f>
        <v/>
      </c>
      <c r="H26" s="26" t="str">
        <f>IF(G25="","",IF(FIXED(SUM(G23:G25),2)="0.80","Correct","Try again"))</f>
        <v/>
      </c>
    </row>
    <row r="27" spans="1:8" ht="15.45" x14ac:dyDescent="0.4">
      <c r="C27" s="27"/>
    </row>
    <row r="28" spans="1:8" ht="15.45" x14ac:dyDescent="0.4">
      <c r="A28" s="13"/>
      <c r="C28" s="27"/>
    </row>
    <row r="30" spans="1:8" x14ac:dyDescent="0.35">
      <c r="A30" s="12">
        <v>4</v>
      </c>
      <c r="B30" s="14" t="s">
        <v>13</v>
      </c>
    </row>
    <row r="31" spans="1:8" ht="15.45" thickBot="1" x14ac:dyDescent="0.4"/>
    <row r="32" spans="1:8" ht="31.75" thickTop="1" thickBot="1" x14ac:dyDescent="0.45">
      <c r="C32" s="3" t="s">
        <v>0</v>
      </c>
      <c r="D32" s="3" t="s">
        <v>1</v>
      </c>
      <c r="E32" s="3" t="s">
        <v>8</v>
      </c>
      <c r="F32" s="3" t="s">
        <v>9</v>
      </c>
      <c r="G32" s="4" t="s">
        <v>10</v>
      </c>
      <c r="H32" s="4" t="s">
        <v>12</v>
      </c>
    </row>
    <row r="33" spans="1:9" ht="15.9" thickTop="1" thickBot="1" x14ac:dyDescent="0.4">
      <c r="B33" s="14" t="s">
        <v>14</v>
      </c>
      <c r="C33" s="15">
        <v>10</v>
      </c>
      <c r="D33" s="12">
        <v>5</v>
      </c>
      <c r="E33" s="21">
        <v>20</v>
      </c>
      <c r="F33" s="22">
        <v>2</v>
      </c>
      <c r="G33" s="16"/>
      <c r="H33" s="16"/>
      <c r="I33" s="17"/>
    </row>
    <row r="34" spans="1:9" ht="15.45" thickBot="1" x14ac:dyDescent="0.4">
      <c r="B34" s="14" t="s">
        <v>15</v>
      </c>
      <c r="C34" s="15">
        <v>30</v>
      </c>
      <c r="D34" s="12">
        <v>4</v>
      </c>
      <c r="E34" s="21">
        <v>20</v>
      </c>
      <c r="F34" s="22">
        <v>3</v>
      </c>
      <c r="G34" s="16"/>
      <c r="H34" s="16"/>
      <c r="I34" s="17"/>
    </row>
    <row r="35" spans="1:9" ht="15.45" thickBot="1" x14ac:dyDescent="0.4">
      <c r="B35" s="14" t="s">
        <v>16</v>
      </c>
      <c r="C35" s="15">
        <v>10</v>
      </c>
      <c r="D35" s="12">
        <v>6</v>
      </c>
      <c r="E35" s="21">
        <v>20</v>
      </c>
      <c r="F35" s="22">
        <v>5</v>
      </c>
      <c r="G35" s="16"/>
      <c r="H35" s="16"/>
      <c r="I35" s="17"/>
    </row>
    <row r="36" spans="1:9" ht="15.45" thickBot="1" x14ac:dyDescent="0.4">
      <c r="B36" s="14" t="s">
        <v>17</v>
      </c>
      <c r="C36" s="15">
        <v>50</v>
      </c>
      <c r="D36" s="12">
        <v>8</v>
      </c>
      <c r="E36" s="21">
        <v>40</v>
      </c>
      <c r="F36" s="22">
        <v>6</v>
      </c>
      <c r="G36" s="16"/>
      <c r="H36" s="16"/>
      <c r="I36" s="17"/>
    </row>
    <row r="37" spans="1:9" ht="15.45" x14ac:dyDescent="0.4">
      <c r="B37" s="23" t="s">
        <v>6</v>
      </c>
      <c r="C37" s="19">
        <f>SUM(C33:C36)</f>
        <v>100</v>
      </c>
      <c r="D37" s="24">
        <f>SUMPRODUCT(C33:C36/100,D33:D36)</f>
        <v>6.3</v>
      </c>
      <c r="E37" s="19">
        <f>SUM(E33:E36)</f>
        <v>100</v>
      </c>
      <c r="F37" s="24">
        <f>SUMPRODUCT(E33:E36/100,F33:F36)</f>
        <v>4.4000000000000004</v>
      </c>
      <c r="G37" s="25" t="str">
        <f>IF(G36="","",SUM(G33:G36))</f>
        <v/>
      </c>
      <c r="H37" s="25" t="str">
        <f>IF(H36="","",SUM(H33:H36))</f>
        <v/>
      </c>
      <c r="I37" s="26" t="str">
        <f>IF(H36="","",IF(AND(FIXED(SUM(H33:H36),2)="1.70",FIXED(SUM(G33:G36),2)="0.20"),"Correct","Try again"))</f>
        <v/>
      </c>
    </row>
    <row r="38" spans="1:9" ht="15.45" x14ac:dyDescent="0.4">
      <c r="C38" s="27"/>
    </row>
    <row r="41" spans="1:9" x14ac:dyDescent="0.35">
      <c r="A41" s="12">
        <v>5</v>
      </c>
      <c r="B41" s="14" t="s">
        <v>13</v>
      </c>
    </row>
    <row r="42" spans="1:9" ht="15.45" thickBot="1" x14ac:dyDescent="0.4"/>
    <row r="43" spans="1:9" ht="31.75" thickTop="1" thickBot="1" x14ac:dyDescent="0.45">
      <c r="C43" s="3" t="s">
        <v>0</v>
      </c>
      <c r="D43" s="3" t="s">
        <v>1</v>
      </c>
      <c r="E43" s="3" t="s">
        <v>8</v>
      </c>
      <c r="F43" s="3" t="s">
        <v>9</v>
      </c>
      <c r="G43" s="4" t="s">
        <v>10</v>
      </c>
      <c r="H43" s="4" t="s">
        <v>12</v>
      </c>
    </row>
    <row r="44" spans="1:9" ht="15.9" thickTop="1" thickBot="1" x14ac:dyDescent="0.4">
      <c r="B44" s="28" t="s">
        <v>18</v>
      </c>
      <c r="C44" s="15">
        <v>20</v>
      </c>
      <c r="D44" s="29">
        <v>0.15</v>
      </c>
      <c r="E44" s="21">
        <v>20</v>
      </c>
      <c r="F44" s="30">
        <v>0.14000000000000001</v>
      </c>
      <c r="G44" s="16"/>
      <c r="H44" s="16"/>
      <c r="I44" s="17"/>
    </row>
    <row r="45" spans="1:9" ht="15.45" thickBot="1" x14ac:dyDescent="0.4">
      <c r="B45" s="14" t="s">
        <v>19</v>
      </c>
      <c r="C45" s="15">
        <v>50</v>
      </c>
      <c r="D45" s="29">
        <v>1.65</v>
      </c>
      <c r="E45" s="21">
        <v>30</v>
      </c>
      <c r="F45" s="30">
        <v>1.55</v>
      </c>
      <c r="G45" s="16"/>
      <c r="H45" s="16"/>
      <c r="I45" s="17"/>
    </row>
    <row r="46" spans="1:9" ht="15.45" thickBot="1" x14ac:dyDescent="0.4">
      <c r="B46" s="14" t="s">
        <v>20</v>
      </c>
      <c r="C46" s="15">
        <v>20</v>
      </c>
      <c r="D46" s="29">
        <v>2.8</v>
      </c>
      <c r="E46" s="21">
        <v>30</v>
      </c>
      <c r="F46" s="30">
        <v>2.75</v>
      </c>
      <c r="G46" s="16"/>
      <c r="H46" s="16"/>
      <c r="I46" s="17"/>
    </row>
    <row r="47" spans="1:9" ht="15.45" thickBot="1" x14ac:dyDescent="0.4">
      <c r="B47" s="14" t="s">
        <v>21</v>
      </c>
      <c r="C47" s="15">
        <v>10</v>
      </c>
      <c r="D47" s="29">
        <v>3.35</v>
      </c>
      <c r="E47" s="21">
        <v>20</v>
      </c>
      <c r="F47" s="30">
        <v>3.25</v>
      </c>
      <c r="G47" s="16"/>
      <c r="H47" s="16"/>
      <c r="I47" s="17"/>
    </row>
    <row r="48" spans="1:9" ht="15.45" x14ac:dyDescent="0.4">
      <c r="B48" s="23" t="s">
        <v>6</v>
      </c>
      <c r="C48" s="19">
        <f>SUM(C44:C47)</f>
        <v>100</v>
      </c>
      <c r="D48" s="24">
        <f>SUMPRODUCT(C44:C47/100,D44:D47)</f>
        <v>1.75</v>
      </c>
      <c r="E48" s="19">
        <f>SUM(E44:E47)</f>
        <v>100</v>
      </c>
      <c r="F48" s="25">
        <f>SUMPRODUCT(E44:E47/100,F44:F47)</f>
        <v>1.968</v>
      </c>
      <c r="G48" s="25" t="str">
        <f>IF(G47="","",SUM(G44:G47))</f>
        <v/>
      </c>
      <c r="H48" s="25" t="str">
        <f>IF(H47="","",SUM(H44:H47))</f>
        <v/>
      </c>
      <c r="I48" s="26" t="str">
        <f>IF(H47="","",IF(AND(FIXED(SUM(H44:H47),2)="0.07",FIXED(SUM(G44:G47),2)="-0.29"),"Correct","Try again"))</f>
        <v/>
      </c>
    </row>
  </sheetData>
  <conditionalFormatting sqref="F5:F7 H13:H15 H23:H25 I33:I36">
    <cfRule type="cellIs" dxfId="35" priority="13" operator="equal">
      <formula>"Incorrect"</formula>
    </cfRule>
    <cfRule type="cellIs" dxfId="34" priority="14" operator="equal">
      <formula>"Correct"</formula>
    </cfRule>
  </conditionalFormatting>
  <conditionalFormatting sqref="H16">
    <cfRule type="cellIs" dxfId="33" priority="11" operator="equal">
      <formula>"Try Again"</formula>
    </cfRule>
    <cfRule type="cellIs" dxfId="32" priority="12" operator="equal">
      <formula>"Correct"</formula>
    </cfRule>
  </conditionalFormatting>
  <conditionalFormatting sqref="H26">
    <cfRule type="cellIs" dxfId="31" priority="9" operator="equal">
      <formula>"Try Again"</formula>
    </cfRule>
    <cfRule type="cellIs" dxfId="30" priority="10" operator="equal">
      <formula>"Correct"</formula>
    </cfRule>
  </conditionalFormatting>
  <conditionalFormatting sqref="I37">
    <cfRule type="cellIs" dxfId="29" priority="7" operator="equal">
      <formula>"Try Again"</formula>
    </cfRule>
    <cfRule type="cellIs" dxfId="28" priority="8" operator="equal">
      <formula>"Correct"</formula>
    </cfRule>
  </conditionalFormatting>
  <conditionalFormatting sqref="I44:I47">
    <cfRule type="cellIs" dxfId="27" priority="5" operator="equal">
      <formula>"Incorrect"</formula>
    </cfRule>
    <cfRule type="cellIs" dxfId="26" priority="6" operator="equal">
      <formula>"Correct"</formula>
    </cfRule>
  </conditionalFormatting>
  <conditionalFormatting sqref="I48">
    <cfRule type="cellIs" dxfId="25" priority="3" operator="equal">
      <formula>"Try Again"</formula>
    </cfRule>
    <cfRule type="cellIs" dxfId="24" priority="4" operator="equal">
      <formula>"Correct"</formula>
    </cfRule>
  </conditionalFormatting>
  <conditionalFormatting sqref="F8">
    <cfRule type="cellIs" dxfId="23" priority="1" operator="equal">
      <formula>"Try Again"</formula>
    </cfRule>
    <cfRule type="cellIs" dxfId="22" priority="2" operator="equal">
      <formula>"Correct"</formula>
    </cfRule>
  </conditionalFormatting>
  <pageMargins left="0.7" right="0.7" top="0.75" bottom="0.75" header="0.3" footer="0.3"/>
  <pageSetup paperSize="9" orientation="portrait" r:id="rId1"/>
  <ignoredErrors>
    <ignoredError sqref="E8" unlocked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04EA3-823E-4138-8A7D-C8DCAA952611}">
  <sheetPr codeName="Sheet1">
    <tabColor theme="7" tint="0.79998168889431442"/>
  </sheetPr>
  <dimension ref="B1:K10"/>
  <sheetViews>
    <sheetView topLeftCell="A10" workbookViewId="0">
      <selection activeCell="J7" sqref="J7"/>
    </sheetView>
  </sheetViews>
  <sheetFormatPr defaultColWidth="9.3046875" defaultRowHeight="12.45" x14ac:dyDescent="0.3"/>
  <cols>
    <col min="1" max="1" width="9.3046875" style="2"/>
    <col min="2" max="2" width="12.3046875" style="2" customWidth="1"/>
    <col min="3" max="6" width="13.4609375" style="2" customWidth="1"/>
    <col min="7" max="8" width="12.3046875" style="2" customWidth="1"/>
    <col min="9" max="16384" width="9.3046875" style="2"/>
  </cols>
  <sheetData>
    <row r="1" spans="2:11" hidden="1" x14ac:dyDescent="0.3"/>
    <row r="3" spans="2:11" ht="15.45" thickBot="1" x14ac:dyDescent="0.4">
      <c r="B3" s="1"/>
      <c r="C3" s="1"/>
      <c r="D3" s="1"/>
      <c r="E3" s="1"/>
      <c r="F3" s="1"/>
      <c r="G3" s="1"/>
      <c r="H3" s="1"/>
      <c r="I3" s="1"/>
    </row>
    <row r="4" spans="2:11" ht="31.75" thickTop="1" thickBot="1" x14ac:dyDescent="0.45">
      <c r="B4" s="1"/>
      <c r="C4" s="3" t="s">
        <v>0</v>
      </c>
      <c r="D4" s="3" t="s">
        <v>1</v>
      </c>
      <c r="E4" s="3" t="s">
        <v>8</v>
      </c>
      <c r="F4" s="3" t="s">
        <v>9</v>
      </c>
      <c r="G4" s="4" t="s">
        <v>10</v>
      </c>
      <c r="H4" s="4" t="s">
        <v>12</v>
      </c>
      <c r="I4" s="1"/>
    </row>
    <row r="5" spans="2:11" ht="15.9" thickTop="1" thickBot="1" x14ac:dyDescent="0.4">
      <c r="B5" s="74" t="s">
        <v>14</v>
      </c>
      <c r="C5" s="6">
        <v>10</v>
      </c>
      <c r="D5" s="5">
        <v>5</v>
      </c>
      <c r="E5" s="6">
        <v>20</v>
      </c>
      <c r="F5" s="5">
        <v>2</v>
      </c>
      <c r="G5" s="7"/>
      <c r="H5" s="8"/>
      <c r="I5" s="9"/>
    </row>
    <row r="6" spans="2:11" ht="15.45" thickBot="1" x14ac:dyDescent="0.4">
      <c r="B6" s="74" t="s">
        <v>15</v>
      </c>
      <c r="C6" s="6">
        <v>30</v>
      </c>
      <c r="D6" s="5">
        <v>4</v>
      </c>
      <c r="E6" s="6">
        <v>40</v>
      </c>
      <c r="F6" s="5">
        <v>3</v>
      </c>
      <c r="G6" s="7"/>
      <c r="H6" s="8"/>
      <c r="I6" s="9"/>
    </row>
    <row r="7" spans="2:11" ht="15.9" thickBot="1" x14ac:dyDescent="0.45">
      <c r="B7" s="75" t="s">
        <v>16</v>
      </c>
      <c r="C7" s="66">
        <v>10</v>
      </c>
      <c r="D7" s="65">
        <v>6</v>
      </c>
      <c r="E7" s="69">
        <v>0</v>
      </c>
      <c r="F7" s="65" t="s">
        <v>22</v>
      </c>
      <c r="G7" s="67"/>
      <c r="H7" s="68"/>
      <c r="I7" s="9"/>
    </row>
    <row r="8" spans="2:11" ht="15.45" thickBot="1" x14ac:dyDescent="0.4">
      <c r="B8" s="74" t="s">
        <v>17</v>
      </c>
      <c r="C8" s="6">
        <v>50</v>
      </c>
      <c r="D8" s="5">
        <v>8</v>
      </c>
      <c r="E8" s="6">
        <v>40</v>
      </c>
      <c r="F8" s="5">
        <v>6</v>
      </c>
      <c r="G8" s="7"/>
      <c r="H8" s="8"/>
      <c r="I8" s="9"/>
    </row>
    <row r="9" spans="2:11" ht="15.45" x14ac:dyDescent="0.4">
      <c r="B9" s="23" t="s">
        <v>6</v>
      </c>
      <c r="C9" s="19">
        <f>SUM(C5:C8)</f>
        <v>100</v>
      </c>
      <c r="D9" s="24" cm="1">
        <f t="array" ref="D9">SUMPRODUCT(C5:C8/100,D5:D8)</f>
        <v>6.3</v>
      </c>
      <c r="E9" s="19">
        <f>SUM(E5:E8)</f>
        <v>100</v>
      </c>
      <c r="F9" s="73">
        <f>SUMPRODUCT(E5:E8/100,F5:F8)</f>
        <v>4</v>
      </c>
      <c r="G9" s="23" t="str">
        <f>IF(G8="","",SUM(G5:G8))</f>
        <v/>
      </c>
      <c r="H9" s="19" t="str">
        <f>IF(H8="","",SUM(H5:H8))</f>
        <v/>
      </c>
      <c r="I9" s="10" t="str">
        <f>IF(H8="","",IF(AND(FIXED(SUM(H5:H8),2)="1.60",FIXED(SUM(G5:G8),2)="0.70"),"Correct","Try again"))</f>
        <v/>
      </c>
      <c r="J9" s="1"/>
      <c r="K9" s="1"/>
    </row>
    <row r="10" spans="2:11" ht="15.45" x14ac:dyDescent="0.4">
      <c r="B10" s="1"/>
      <c r="C10" s="11"/>
      <c r="D10" s="1"/>
      <c r="E10" s="1"/>
      <c r="F10" s="1"/>
      <c r="G10" s="1"/>
      <c r="H10" s="1"/>
      <c r="I10" s="1"/>
    </row>
  </sheetData>
  <conditionalFormatting sqref="I5:I8">
    <cfRule type="cellIs" dxfId="21" priority="3" operator="equal">
      <formula>"Incorrect"</formula>
    </cfRule>
    <cfRule type="cellIs" dxfId="20" priority="4" operator="equal">
      <formula>"Correct"</formula>
    </cfRule>
  </conditionalFormatting>
  <conditionalFormatting sqref="I9">
    <cfRule type="cellIs" dxfId="19" priority="1" operator="equal">
      <formula>"Try Again"</formula>
    </cfRule>
    <cfRule type="cellIs" dxfId="18" priority="2" operator="equal">
      <formula>"Correct"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B92EA-9B63-4AF4-A6F5-3D0CEF673803}">
  <sheetPr codeName="Sheet7">
    <tabColor theme="4" tint="0.79998168889431442"/>
  </sheetPr>
  <dimension ref="A2:I48"/>
  <sheetViews>
    <sheetView showGridLines="0" workbookViewId="0">
      <selection activeCell="H26" sqref="H26"/>
    </sheetView>
  </sheetViews>
  <sheetFormatPr defaultColWidth="9.3046875" defaultRowHeight="15" x14ac:dyDescent="0.35"/>
  <cols>
    <col min="1" max="1" width="9.3046875" style="12"/>
    <col min="2" max="2" width="14.3046875" style="13" customWidth="1"/>
    <col min="3" max="6" width="14.84375" style="13" customWidth="1"/>
    <col min="7" max="8" width="15.07421875" style="13" customWidth="1"/>
    <col min="9" max="28" width="9.3046875" style="13"/>
    <col min="29" max="30" width="9.3046875" style="13" customWidth="1"/>
    <col min="31" max="16384" width="9.3046875" style="13"/>
  </cols>
  <sheetData>
    <row r="2" spans="1:8" x14ac:dyDescent="0.35">
      <c r="A2" s="12">
        <v>1</v>
      </c>
      <c r="B2" s="13" t="s">
        <v>117</v>
      </c>
    </row>
    <row r="3" spans="1:8" ht="15.45" thickBot="1" x14ac:dyDescent="0.4">
      <c r="H3" s="13" t="s">
        <v>122</v>
      </c>
    </row>
    <row r="4" spans="1:8" ht="31.75" thickTop="1" thickBot="1" x14ac:dyDescent="0.45">
      <c r="C4" s="3" t="s">
        <v>0</v>
      </c>
      <c r="D4" s="3" t="s">
        <v>1</v>
      </c>
      <c r="E4" s="4" t="s">
        <v>2</v>
      </c>
    </row>
    <row r="5" spans="1:8" ht="15.9" thickTop="1" thickBot="1" x14ac:dyDescent="0.4">
      <c r="B5" s="14" t="s">
        <v>3</v>
      </c>
      <c r="C5" s="15">
        <v>20</v>
      </c>
      <c r="D5" s="12">
        <v>11</v>
      </c>
      <c r="E5" s="70">
        <f>C5*D5/100</f>
        <v>2.2000000000000002</v>
      </c>
      <c r="F5" s="17"/>
    </row>
    <row r="6" spans="1:8" ht="15.45" thickBot="1" x14ac:dyDescent="0.4">
      <c r="B6" s="14" t="s">
        <v>4</v>
      </c>
      <c r="C6" s="15">
        <v>30</v>
      </c>
      <c r="D6" s="12">
        <v>5</v>
      </c>
      <c r="E6" s="70">
        <f>C6*D6/100</f>
        <v>1.5</v>
      </c>
      <c r="F6" s="17"/>
    </row>
    <row r="7" spans="1:8" ht="15.45" thickBot="1" x14ac:dyDescent="0.4">
      <c r="B7" s="14" t="s">
        <v>5</v>
      </c>
      <c r="C7" s="15">
        <v>50</v>
      </c>
      <c r="D7" s="12">
        <v>8</v>
      </c>
      <c r="E7" s="70">
        <f>C7*D7/100</f>
        <v>4</v>
      </c>
      <c r="F7" s="17"/>
    </row>
    <row r="8" spans="1:8" ht="15.45" x14ac:dyDescent="0.4">
      <c r="B8" s="18" t="s">
        <v>6</v>
      </c>
      <c r="C8" s="19">
        <f>SUM(C5:C7)</f>
        <v>100</v>
      </c>
      <c r="D8" s="20"/>
      <c r="E8" s="72">
        <f>IF(E7="","",SUM(E5:E7))</f>
        <v>7.7</v>
      </c>
      <c r="F8" s="79" t="str">
        <f>IF(E7="","",IF(FIXED(SUM(E5:E7),2)="7.70","Correct","Try again"))</f>
        <v>Correct</v>
      </c>
    </row>
    <row r="10" spans="1:8" x14ac:dyDescent="0.35">
      <c r="A10" s="12">
        <v>2</v>
      </c>
      <c r="B10" s="13" t="s">
        <v>7</v>
      </c>
    </row>
    <row r="11" spans="1:8" ht="15.45" thickBot="1" x14ac:dyDescent="0.4"/>
    <row r="12" spans="1:8" ht="31.75" thickTop="1" thickBot="1" x14ac:dyDescent="0.45">
      <c r="C12" s="3" t="s">
        <v>0</v>
      </c>
      <c r="D12" s="3" t="s">
        <v>1</v>
      </c>
      <c r="E12" s="3" t="s">
        <v>8</v>
      </c>
      <c r="F12" s="3" t="s">
        <v>9</v>
      </c>
      <c r="G12" s="4" t="s">
        <v>10</v>
      </c>
    </row>
    <row r="13" spans="1:8" ht="15.9" thickTop="1" thickBot="1" x14ac:dyDescent="0.4">
      <c r="B13" s="14" t="s">
        <v>3</v>
      </c>
      <c r="C13" s="15">
        <v>20</v>
      </c>
      <c r="D13" s="12">
        <v>11</v>
      </c>
      <c r="E13" s="21">
        <v>30</v>
      </c>
      <c r="F13" s="22">
        <v>10</v>
      </c>
      <c r="G13" s="16">
        <f>(C13-E13)*(F13-F$16)/100</f>
        <v>-0.23</v>
      </c>
      <c r="H13" s="17"/>
    </row>
    <row r="14" spans="1:8" ht="15.45" thickBot="1" x14ac:dyDescent="0.4">
      <c r="B14" s="14" t="s">
        <v>4</v>
      </c>
      <c r="C14" s="15">
        <v>30</v>
      </c>
      <c r="D14" s="12">
        <v>5</v>
      </c>
      <c r="E14" s="21">
        <v>40</v>
      </c>
      <c r="F14" s="22">
        <v>8</v>
      </c>
      <c r="G14" s="16">
        <f>(C14-E14)*(F14-F$16)/100</f>
        <v>-2.9999999999999982E-2</v>
      </c>
      <c r="H14" s="17"/>
    </row>
    <row r="15" spans="1:8" ht="15.45" thickBot="1" x14ac:dyDescent="0.4">
      <c r="B15" s="14" t="s">
        <v>5</v>
      </c>
      <c r="C15" s="15">
        <v>50</v>
      </c>
      <c r="D15" s="12">
        <v>8</v>
      </c>
      <c r="E15" s="21">
        <v>30</v>
      </c>
      <c r="F15" s="22">
        <v>5</v>
      </c>
      <c r="G15" s="16">
        <f>(C15-E15)*(F15-F$16)/100</f>
        <v>-0.54</v>
      </c>
      <c r="H15" s="17"/>
    </row>
    <row r="16" spans="1:8" ht="15.45" x14ac:dyDescent="0.4">
      <c r="B16" s="23" t="s">
        <v>6</v>
      </c>
      <c r="C16" s="19">
        <f>SUM(C13:C15)</f>
        <v>100</v>
      </c>
      <c r="D16" s="24">
        <f>SUMPRODUCT(C13:C15,D13:D15)/100</f>
        <v>7.7</v>
      </c>
      <c r="E16" s="19">
        <f>SUM(E13:E15)</f>
        <v>100</v>
      </c>
      <c r="F16" s="24">
        <f>SUMPRODUCT(E13:E15,F13:F15)/100</f>
        <v>7.7</v>
      </c>
      <c r="G16" s="25">
        <f>IF(G15="","",SUM(G13:G15))</f>
        <v>-0.8</v>
      </c>
      <c r="H16" s="79" t="str">
        <f>IF(G15="","",IF(FIXED(SUM(G13:G15),2)="-0.80","Correct","Try again"))</f>
        <v>Correct</v>
      </c>
    </row>
    <row r="17" spans="1:8" ht="15.45" x14ac:dyDescent="0.4">
      <c r="B17" s="14"/>
      <c r="C17" s="27"/>
    </row>
    <row r="18" spans="1:8" ht="15.45" x14ac:dyDescent="0.4">
      <c r="B18" s="14"/>
      <c r="C18" s="27"/>
    </row>
    <row r="19" spans="1:8" ht="15.45" x14ac:dyDescent="0.4">
      <c r="B19" s="14"/>
      <c r="C19" s="27"/>
    </row>
    <row r="20" spans="1:8" x14ac:dyDescent="0.35">
      <c r="A20" s="12">
        <v>3</v>
      </c>
      <c r="B20" s="14" t="s">
        <v>11</v>
      </c>
    </row>
    <row r="21" spans="1:8" ht="15.45" thickBot="1" x14ac:dyDescent="0.4">
      <c r="B21" s="14"/>
    </row>
    <row r="22" spans="1:8" ht="31.75" thickTop="1" thickBot="1" x14ac:dyDescent="0.45">
      <c r="B22" s="14"/>
      <c r="C22" s="3" t="s">
        <v>0</v>
      </c>
      <c r="D22" s="3" t="s">
        <v>1</v>
      </c>
      <c r="E22" s="3" t="s">
        <v>8</v>
      </c>
      <c r="F22" s="3" t="s">
        <v>9</v>
      </c>
      <c r="G22" s="4" t="s">
        <v>12</v>
      </c>
    </row>
    <row r="23" spans="1:8" ht="15.9" thickTop="1" thickBot="1" x14ac:dyDescent="0.4">
      <c r="B23" s="14" t="s">
        <v>3</v>
      </c>
      <c r="C23" s="15">
        <v>20</v>
      </c>
      <c r="D23" s="12">
        <v>11</v>
      </c>
      <c r="E23" s="21">
        <v>30</v>
      </c>
      <c r="F23" s="22">
        <v>10</v>
      </c>
      <c r="G23" s="16">
        <f>C23%*(D23-F23)</f>
        <v>0.2</v>
      </c>
      <c r="H23" s="17"/>
    </row>
    <row r="24" spans="1:8" ht="15.45" thickBot="1" x14ac:dyDescent="0.4">
      <c r="B24" s="14" t="s">
        <v>4</v>
      </c>
      <c r="C24" s="15">
        <v>30</v>
      </c>
      <c r="D24" s="12">
        <v>5</v>
      </c>
      <c r="E24" s="21">
        <v>40</v>
      </c>
      <c r="F24" s="22">
        <v>8</v>
      </c>
      <c r="G24" s="16">
        <f>C24%*(D24-F24)</f>
        <v>-0.89999999999999991</v>
      </c>
      <c r="H24" s="17"/>
    </row>
    <row r="25" spans="1:8" ht="15.45" thickBot="1" x14ac:dyDescent="0.4">
      <c r="B25" s="14" t="s">
        <v>5</v>
      </c>
      <c r="C25" s="15">
        <v>50</v>
      </c>
      <c r="D25" s="12">
        <v>8</v>
      </c>
      <c r="E25" s="21">
        <v>30</v>
      </c>
      <c r="F25" s="22">
        <v>5</v>
      </c>
      <c r="G25" s="16">
        <f>C25%*(D25-F25)</f>
        <v>1.5</v>
      </c>
      <c r="H25" s="17"/>
    </row>
    <row r="26" spans="1:8" ht="15.45" x14ac:dyDescent="0.4">
      <c r="B26" s="23" t="s">
        <v>6</v>
      </c>
      <c r="C26" s="19">
        <f>SUM(C23:C25)</f>
        <v>100</v>
      </c>
      <c r="D26" s="24">
        <f>SUMPRODUCT(C23:C25/100,D23:D25)</f>
        <v>7.7</v>
      </c>
      <c r="E26" s="19">
        <f>SUM(E23:E25)</f>
        <v>100</v>
      </c>
      <c r="F26" s="24">
        <f>SUMPRODUCT(E23:E25/100,F23:F25)</f>
        <v>7.7</v>
      </c>
      <c r="G26" s="25">
        <f>IF(G25="","",SUM(G23:G25))</f>
        <v>0.8</v>
      </c>
      <c r="H26" s="79" t="str">
        <f>IF(G25="","",IF(FIXED(SUM(G23:G25),2)="0.80","Correct","Try again"))</f>
        <v>Correct</v>
      </c>
    </row>
    <row r="27" spans="1:8" ht="15.45" x14ac:dyDescent="0.4">
      <c r="C27" s="27"/>
    </row>
    <row r="28" spans="1:8" ht="15.45" x14ac:dyDescent="0.4">
      <c r="A28" s="13"/>
      <c r="C28" s="27"/>
    </row>
    <row r="30" spans="1:8" x14ac:dyDescent="0.35">
      <c r="A30" s="12">
        <v>4</v>
      </c>
      <c r="B30" s="14" t="s">
        <v>13</v>
      </c>
    </row>
    <row r="31" spans="1:8" ht="15.45" thickBot="1" x14ac:dyDescent="0.4"/>
    <row r="32" spans="1:8" ht="31.75" thickTop="1" thickBot="1" x14ac:dyDescent="0.45">
      <c r="C32" s="3" t="s">
        <v>0</v>
      </c>
      <c r="D32" s="3" t="s">
        <v>1</v>
      </c>
      <c r="E32" s="3" t="s">
        <v>8</v>
      </c>
      <c r="F32" s="3" t="s">
        <v>9</v>
      </c>
      <c r="G32" s="4" t="s">
        <v>10</v>
      </c>
      <c r="H32" s="4" t="s">
        <v>12</v>
      </c>
    </row>
    <row r="33" spans="1:9" ht="15.9" thickTop="1" thickBot="1" x14ac:dyDescent="0.4">
      <c r="B33" s="14" t="s">
        <v>14</v>
      </c>
      <c r="C33" s="15">
        <v>10</v>
      </c>
      <c r="D33" s="12">
        <v>5</v>
      </c>
      <c r="E33" s="21">
        <v>20</v>
      </c>
      <c r="F33" s="22">
        <v>2</v>
      </c>
      <c r="G33" s="16">
        <f>(C33%-E33%)*(F33-$F$37)</f>
        <v>0.24000000000000005</v>
      </c>
      <c r="H33" s="16">
        <f>C33%*(D33-F33)</f>
        <v>0.30000000000000004</v>
      </c>
      <c r="I33" s="17"/>
    </row>
    <row r="34" spans="1:9" ht="15.45" thickBot="1" x14ac:dyDescent="0.4">
      <c r="B34" s="14" t="s">
        <v>15</v>
      </c>
      <c r="C34" s="15">
        <v>30</v>
      </c>
      <c r="D34" s="12">
        <v>4</v>
      </c>
      <c r="E34" s="21">
        <v>20</v>
      </c>
      <c r="F34" s="22">
        <v>3</v>
      </c>
      <c r="G34" s="16">
        <f>(C34%-E34%)*(F34-$F$37)</f>
        <v>-0.14000000000000001</v>
      </c>
      <c r="H34" s="16">
        <f>C34%*(D34-F34)</f>
        <v>0.3</v>
      </c>
      <c r="I34" s="17"/>
    </row>
    <row r="35" spans="1:9" ht="15.45" thickBot="1" x14ac:dyDescent="0.4">
      <c r="B35" s="14" t="s">
        <v>16</v>
      </c>
      <c r="C35" s="15">
        <v>10</v>
      </c>
      <c r="D35" s="12">
        <v>6</v>
      </c>
      <c r="E35" s="21">
        <v>20</v>
      </c>
      <c r="F35" s="22">
        <v>5</v>
      </c>
      <c r="G35" s="16">
        <f>(C35%-E35%)*(F35-$F$37)</f>
        <v>-5.999999999999997E-2</v>
      </c>
      <c r="H35" s="16">
        <f>C35%*(D35-F35)</f>
        <v>0.1</v>
      </c>
      <c r="I35" s="17"/>
    </row>
    <row r="36" spans="1:9" ht="15.45" thickBot="1" x14ac:dyDescent="0.4">
      <c r="B36" s="14" t="s">
        <v>17</v>
      </c>
      <c r="C36" s="15">
        <v>50</v>
      </c>
      <c r="D36" s="12">
        <v>8</v>
      </c>
      <c r="E36" s="21">
        <v>40</v>
      </c>
      <c r="F36" s="22">
        <v>6</v>
      </c>
      <c r="G36" s="16">
        <f>(C36%-E36%)*(F36-$F$37)</f>
        <v>0.15999999999999992</v>
      </c>
      <c r="H36" s="16">
        <f>C36%*(D36-F36)</f>
        <v>1</v>
      </c>
      <c r="I36" s="17"/>
    </row>
    <row r="37" spans="1:9" ht="15.45" x14ac:dyDescent="0.4">
      <c r="B37" s="23" t="s">
        <v>6</v>
      </c>
      <c r="C37" s="19">
        <f>SUM(C33:C36)</f>
        <v>100</v>
      </c>
      <c r="D37" s="24">
        <f>SUMPRODUCT(C33:C36/100,D33:D36)</f>
        <v>6.3</v>
      </c>
      <c r="E37" s="19">
        <f>SUM(E33:E36)</f>
        <v>100</v>
      </c>
      <c r="F37" s="24">
        <f>SUMPRODUCT(E33:E36/100,F33:F36)</f>
        <v>4.4000000000000004</v>
      </c>
      <c r="G37" s="25">
        <f>IF(G36="","",SUM(G33:G36))</f>
        <v>0.19999999999999998</v>
      </c>
      <c r="H37" s="25">
        <f>IF(H36="","",SUM(H33:H36))</f>
        <v>1.7000000000000002</v>
      </c>
      <c r="I37" s="26" t="str">
        <f>IF(H36="","",IF(AND(FIXED(SUM(H33:H36),2)="1.70",FIXED(SUM(G33:G36),2)="0.20"),"Correct","Try again"))</f>
        <v>Correct</v>
      </c>
    </row>
    <row r="38" spans="1:9" ht="15.45" x14ac:dyDescent="0.4">
      <c r="C38" s="27"/>
    </row>
    <row r="41" spans="1:9" x14ac:dyDescent="0.35">
      <c r="A41" s="12">
        <v>5</v>
      </c>
      <c r="B41" s="14" t="s">
        <v>13</v>
      </c>
    </row>
    <row r="42" spans="1:9" ht="15.45" thickBot="1" x14ac:dyDescent="0.4"/>
    <row r="43" spans="1:9" ht="31.75" thickTop="1" thickBot="1" x14ac:dyDescent="0.45">
      <c r="C43" s="3" t="s">
        <v>0</v>
      </c>
      <c r="D43" s="3" t="s">
        <v>1</v>
      </c>
      <c r="E43" s="3" t="s">
        <v>8</v>
      </c>
      <c r="F43" s="3" t="s">
        <v>9</v>
      </c>
      <c r="G43" s="4" t="s">
        <v>10</v>
      </c>
      <c r="H43" s="4" t="s">
        <v>12</v>
      </c>
    </row>
    <row r="44" spans="1:9" ht="15.9" thickTop="1" thickBot="1" x14ac:dyDescent="0.4">
      <c r="B44" s="28" t="s">
        <v>18</v>
      </c>
      <c r="C44" s="15">
        <v>20</v>
      </c>
      <c r="D44" s="29">
        <v>0.15</v>
      </c>
      <c r="E44" s="21">
        <v>20</v>
      </c>
      <c r="F44" s="30">
        <v>0.14000000000000001</v>
      </c>
      <c r="G44" s="16">
        <f>(C44%-E44%)*(F44-$F$48)</f>
        <v>0</v>
      </c>
      <c r="H44" s="16">
        <f>C44%*(D44-F44)</f>
        <v>1.9999999999999961E-3</v>
      </c>
      <c r="I44" s="17"/>
    </row>
    <row r="45" spans="1:9" ht="15.45" thickBot="1" x14ac:dyDescent="0.4">
      <c r="B45" s="14" t="s">
        <v>19</v>
      </c>
      <c r="C45" s="15">
        <v>50</v>
      </c>
      <c r="D45" s="29">
        <v>1.65</v>
      </c>
      <c r="E45" s="21">
        <v>30</v>
      </c>
      <c r="F45" s="30">
        <v>1.55</v>
      </c>
      <c r="G45" s="16">
        <f>(C45%-E45%)*(F45-$F$48)</f>
        <v>-8.3599999999999994E-2</v>
      </c>
      <c r="H45" s="16">
        <f>C45%*(D45-F45)</f>
        <v>4.9999999999999933E-2</v>
      </c>
      <c r="I45" s="17"/>
    </row>
    <row r="46" spans="1:9" ht="15.45" thickBot="1" x14ac:dyDescent="0.4">
      <c r="B46" s="14" t="s">
        <v>20</v>
      </c>
      <c r="C46" s="15">
        <v>20</v>
      </c>
      <c r="D46" s="29">
        <v>2.8</v>
      </c>
      <c r="E46" s="21">
        <v>30</v>
      </c>
      <c r="F46" s="30">
        <v>2.75</v>
      </c>
      <c r="G46" s="16">
        <f>(C46%-E46%)*(F46-$F$48)</f>
        <v>-7.8199999999999992E-2</v>
      </c>
      <c r="H46" s="16">
        <f>C46%*(D46-F46)</f>
        <v>9.9999999999999655E-3</v>
      </c>
      <c r="I46" s="17"/>
    </row>
    <row r="47" spans="1:9" ht="15.45" thickBot="1" x14ac:dyDescent="0.4">
      <c r="B47" s="14" t="s">
        <v>21</v>
      </c>
      <c r="C47" s="15">
        <v>10</v>
      </c>
      <c r="D47" s="29">
        <v>3.35</v>
      </c>
      <c r="E47" s="21">
        <v>20</v>
      </c>
      <c r="F47" s="30">
        <v>3.25</v>
      </c>
      <c r="G47" s="16">
        <f>(C47%-E47%)*(F47-$F$48)</f>
        <v>-0.12820000000000001</v>
      </c>
      <c r="H47" s="16">
        <f>C47%*(D47-F47)</f>
        <v>1.0000000000000009E-2</v>
      </c>
      <c r="I47" s="17"/>
    </row>
    <row r="48" spans="1:9" ht="15.45" x14ac:dyDescent="0.4">
      <c r="B48" s="23" t="s">
        <v>6</v>
      </c>
      <c r="C48" s="19">
        <f>SUM(C44:C47)</f>
        <v>100</v>
      </c>
      <c r="D48" s="24">
        <f>SUMPRODUCT(C44:C47/100,D44:D47)</f>
        <v>1.75</v>
      </c>
      <c r="E48" s="19">
        <f>SUM(E44:E47)</f>
        <v>100</v>
      </c>
      <c r="F48" s="25">
        <f>SUMPRODUCT(E44:E47/100,F44:F47)</f>
        <v>1.968</v>
      </c>
      <c r="G48" s="25">
        <f>IF(G47="","",SUM(G44:G47))</f>
        <v>-0.29000000000000004</v>
      </c>
      <c r="H48" s="25">
        <f>IF(H47="","",SUM(H44:H47))</f>
        <v>7.1999999999999897E-2</v>
      </c>
      <c r="I48" s="26" t="str">
        <f>IF(H47="","",IF(AND(FIXED(SUM(H44:H47),2)="0.07",FIXED(SUM(G44:G47),2)="-0.29"),"Correct","Try again"))</f>
        <v>Correct</v>
      </c>
    </row>
  </sheetData>
  <conditionalFormatting sqref="F5:F7 H13:H15 H23:H25 I33:I36">
    <cfRule type="cellIs" dxfId="17" priority="13" operator="equal">
      <formula>"Incorrect"</formula>
    </cfRule>
    <cfRule type="cellIs" dxfId="16" priority="14" operator="equal">
      <formula>"Correct"</formula>
    </cfRule>
  </conditionalFormatting>
  <conditionalFormatting sqref="H16">
    <cfRule type="cellIs" dxfId="15" priority="11" operator="equal">
      <formula>"Try Again"</formula>
    </cfRule>
    <cfRule type="cellIs" dxfId="14" priority="12" operator="equal">
      <formula>"Correct"</formula>
    </cfRule>
  </conditionalFormatting>
  <conditionalFormatting sqref="H26">
    <cfRule type="cellIs" dxfId="13" priority="9" operator="equal">
      <formula>"Try Again"</formula>
    </cfRule>
    <cfRule type="cellIs" dxfId="12" priority="10" operator="equal">
      <formula>"Correct"</formula>
    </cfRule>
  </conditionalFormatting>
  <conditionalFormatting sqref="I37">
    <cfRule type="cellIs" dxfId="11" priority="7" operator="equal">
      <formula>"Try Again"</formula>
    </cfRule>
    <cfRule type="cellIs" dxfId="10" priority="8" operator="equal">
      <formula>"Correct"</formula>
    </cfRule>
  </conditionalFormatting>
  <conditionalFormatting sqref="I44:I47">
    <cfRule type="cellIs" dxfId="9" priority="5" operator="equal">
      <formula>"Incorrect"</formula>
    </cfRule>
    <cfRule type="cellIs" dxfId="8" priority="6" operator="equal">
      <formula>"Correct"</formula>
    </cfRule>
  </conditionalFormatting>
  <conditionalFormatting sqref="I48">
    <cfRule type="cellIs" dxfId="7" priority="3" operator="equal">
      <formula>"Try Again"</formula>
    </cfRule>
    <cfRule type="cellIs" dxfId="6" priority="4" operator="equal">
      <formula>"Correct"</formula>
    </cfRule>
  </conditionalFormatting>
  <conditionalFormatting sqref="F8">
    <cfRule type="cellIs" dxfId="5" priority="1" operator="equal">
      <formula>"Try Again"</formula>
    </cfRule>
    <cfRule type="cellIs" dxfId="4" priority="2" operator="equal">
      <formula>"Correct"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CB70D-030F-474D-B281-493BB7F3612B}">
  <sheetPr codeName="Sheet8">
    <tabColor theme="7" tint="0.79998168889431442"/>
  </sheetPr>
  <dimension ref="B1:K10"/>
  <sheetViews>
    <sheetView topLeftCell="A2" workbookViewId="0">
      <selection activeCell="I4" sqref="I4"/>
    </sheetView>
  </sheetViews>
  <sheetFormatPr defaultColWidth="9.3046875" defaultRowHeight="12.45" x14ac:dyDescent="0.3"/>
  <cols>
    <col min="1" max="1" width="9.3046875" style="2"/>
    <col min="2" max="2" width="12.3046875" style="2" customWidth="1"/>
    <col min="3" max="6" width="13.4609375" style="2" customWidth="1"/>
    <col min="7" max="8" width="12.3046875" style="2" customWidth="1"/>
    <col min="9" max="16384" width="9.3046875" style="2"/>
  </cols>
  <sheetData>
    <row r="1" spans="2:11" hidden="1" x14ac:dyDescent="0.3"/>
    <row r="3" spans="2:11" ht="15.45" thickBot="1" x14ac:dyDescent="0.4">
      <c r="B3" s="1"/>
      <c r="C3" s="1"/>
      <c r="D3" s="1"/>
      <c r="E3" s="1"/>
      <c r="F3" s="1"/>
      <c r="G3" s="1"/>
      <c r="H3" s="1"/>
      <c r="I3" s="1"/>
    </row>
    <row r="4" spans="2:11" ht="31.75" thickTop="1" thickBot="1" x14ac:dyDescent="0.45">
      <c r="B4" s="1"/>
      <c r="C4" s="3" t="s">
        <v>0</v>
      </c>
      <c r="D4" s="3" t="s">
        <v>1</v>
      </c>
      <c r="E4" s="3" t="s">
        <v>8</v>
      </c>
      <c r="F4" s="3" t="s">
        <v>9</v>
      </c>
      <c r="G4" s="4" t="s">
        <v>10</v>
      </c>
      <c r="H4" s="4" t="s">
        <v>12</v>
      </c>
      <c r="I4" s="1"/>
    </row>
    <row r="5" spans="2:11" ht="15.9" thickTop="1" thickBot="1" x14ac:dyDescent="0.4">
      <c r="B5" s="74" t="s">
        <v>14</v>
      </c>
      <c r="C5" s="6">
        <v>10</v>
      </c>
      <c r="D5" s="5">
        <v>5</v>
      </c>
      <c r="E5" s="6">
        <v>20</v>
      </c>
      <c r="F5" s="5">
        <v>2</v>
      </c>
      <c r="G5" s="7">
        <f>(C5-E5)*(F5-F$9)/100</f>
        <v>0.2</v>
      </c>
      <c r="H5" s="8">
        <f>C5*(D5-F5)/100</f>
        <v>0.3</v>
      </c>
      <c r="I5" s="9"/>
    </row>
    <row r="6" spans="2:11" ht="15.45" thickBot="1" x14ac:dyDescent="0.4">
      <c r="B6" s="74" t="s">
        <v>15</v>
      </c>
      <c r="C6" s="6">
        <v>30</v>
      </c>
      <c r="D6" s="5">
        <v>4</v>
      </c>
      <c r="E6" s="6">
        <v>40</v>
      </c>
      <c r="F6" s="5">
        <v>3</v>
      </c>
      <c r="G6" s="7">
        <f>(C6-E6)*(F6-F$9)/100</f>
        <v>0.1</v>
      </c>
      <c r="H6" s="8">
        <f>C6*(D6-F6)/100</f>
        <v>0.3</v>
      </c>
      <c r="I6" s="9"/>
    </row>
    <row r="7" spans="2:11" ht="15.9" thickBot="1" x14ac:dyDescent="0.45">
      <c r="B7" s="75" t="s">
        <v>16</v>
      </c>
      <c r="C7" s="66">
        <v>10</v>
      </c>
      <c r="D7" s="65">
        <v>6</v>
      </c>
      <c r="E7" s="69">
        <v>0</v>
      </c>
      <c r="F7" s="65" t="s">
        <v>22</v>
      </c>
      <c r="G7" s="80">
        <f>C7*(D7-F$9)/100</f>
        <v>0.2</v>
      </c>
      <c r="H7" s="81">
        <f>C7*(D7-D7)/100</f>
        <v>0</v>
      </c>
      <c r="I7" s="9"/>
    </row>
    <row r="8" spans="2:11" ht="15.45" thickBot="1" x14ac:dyDescent="0.4">
      <c r="B8" s="74" t="s">
        <v>17</v>
      </c>
      <c r="C8" s="6">
        <v>50</v>
      </c>
      <c r="D8" s="5">
        <v>8</v>
      </c>
      <c r="E8" s="6">
        <v>40</v>
      </c>
      <c r="F8" s="5">
        <v>6</v>
      </c>
      <c r="G8" s="7">
        <f>(C8-E8)*(F8-F$9)/100</f>
        <v>0.2</v>
      </c>
      <c r="H8" s="8">
        <f>C8*(D8-F8)/100</f>
        <v>1</v>
      </c>
      <c r="I8" s="9"/>
    </row>
    <row r="9" spans="2:11" ht="15.45" x14ac:dyDescent="0.4">
      <c r="B9" s="23" t="s">
        <v>6</v>
      </c>
      <c r="C9" s="19">
        <f>SUM(C5:C8)</f>
        <v>100</v>
      </c>
      <c r="D9" s="24" cm="1">
        <f t="array" ref="D9">SUMPRODUCT(C5:C8/100,D5:D8)</f>
        <v>6.3</v>
      </c>
      <c r="E9" s="19">
        <f>SUM(E5:E8)</f>
        <v>100</v>
      </c>
      <c r="F9" s="73">
        <f>SUMPRODUCT(E5:E8/100,F5:F8)</f>
        <v>4</v>
      </c>
      <c r="G9" s="24">
        <f>IF(G8="","",SUM(G5:G8))</f>
        <v>0.7</v>
      </c>
      <c r="H9" s="25">
        <f>IF(H8="","",SUM(H5:H8))</f>
        <v>1.6</v>
      </c>
      <c r="I9" s="10" t="str">
        <f>IF(H8="","",IF(AND(FIXED(SUM(H5:H8),2)="1.60",FIXED(SUM(G5:G8),2)="0.70"),"Correct","Try again"))</f>
        <v>Correct</v>
      </c>
      <c r="J9" s="1"/>
      <c r="K9" s="1"/>
    </row>
    <row r="10" spans="2:11" ht="15.45" x14ac:dyDescent="0.4">
      <c r="B10" s="1"/>
      <c r="C10" s="11"/>
      <c r="D10" s="1"/>
      <c r="E10" s="1"/>
      <c r="F10" s="1"/>
      <c r="G10" s="1"/>
      <c r="H10" s="1"/>
      <c r="I10" s="1"/>
    </row>
  </sheetData>
  <conditionalFormatting sqref="I5:I8">
    <cfRule type="cellIs" dxfId="3" priority="3" operator="equal">
      <formula>"Incorrect"</formula>
    </cfRule>
    <cfRule type="cellIs" dxfId="2" priority="4" operator="equal">
      <formula>"Correct"</formula>
    </cfRule>
  </conditionalFormatting>
  <conditionalFormatting sqref="I9">
    <cfRule type="cellIs" dxfId="1" priority="1" operator="equal">
      <formula>"Try Again"</formula>
    </cfRule>
    <cfRule type="cellIs" dxfId="0" priority="2" operator="equal">
      <formula>"Correct"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AE161-8BE7-469E-A41D-5DBAA312E693}">
  <sheetPr codeName="Sheet5"/>
  <dimension ref="A1:W480"/>
  <sheetViews>
    <sheetView workbookViewId="0">
      <selection activeCell="A10" sqref="A10"/>
    </sheetView>
  </sheetViews>
  <sheetFormatPr defaultRowHeight="17.600000000000001" x14ac:dyDescent="0.4"/>
  <cols>
    <col min="1" max="1" width="14.69140625" style="62" customWidth="1"/>
    <col min="2" max="2" width="14.84375" hidden="1" customWidth="1"/>
    <col min="3" max="3" width="41.53515625" customWidth="1"/>
    <col min="4" max="16" width="11.3046875" customWidth="1"/>
    <col min="17" max="18" width="11.3046875" style="58" customWidth="1"/>
    <col min="21" max="21" width="11.3046875" customWidth="1"/>
  </cols>
  <sheetData>
    <row r="1" spans="1:23" x14ac:dyDescent="0.4">
      <c r="A1" s="62">
        <f>SUM(A3:A99)</f>
        <v>0</v>
      </c>
      <c r="C1" s="49" t="s">
        <v>23</v>
      </c>
      <c r="D1" s="49"/>
      <c r="F1" s="42">
        <v>45565</v>
      </c>
      <c r="H1" s="51">
        <f>SUM(H3:H353)</f>
        <v>1</v>
      </c>
      <c r="I1" s="43">
        <f>SUMPRODUCT($H3:$H353,I3:I353)</f>
        <v>1.8201379854865034</v>
      </c>
      <c r="K1" s="43">
        <f>SUMPRODUCT($H3:$H353,K3:K353)</f>
        <v>3.3697011706459254</v>
      </c>
      <c r="L1" s="43">
        <f>SUMPRODUCT($H3:$H353,L3:L353)</f>
        <v>4.2808486835211141</v>
      </c>
      <c r="Q1" s="56">
        <f>SUMPRODUCT($H3:$H353,Q3:Q353)</f>
        <v>0</v>
      </c>
      <c r="R1" s="56"/>
      <c r="U1" s="43"/>
    </row>
    <row r="2" spans="1:23" ht="35.15" x14ac:dyDescent="0.4">
      <c r="A2" s="76" t="s">
        <v>118</v>
      </c>
      <c r="B2" s="48"/>
      <c r="C2" s="48" t="s">
        <v>24</v>
      </c>
      <c r="D2" s="48" t="s">
        <v>25</v>
      </c>
      <c r="E2" s="48" t="s">
        <v>26</v>
      </c>
      <c r="F2" s="77" t="s">
        <v>27</v>
      </c>
      <c r="G2" s="48" t="s">
        <v>28</v>
      </c>
      <c r="H2" s="77" t="s">
        <v>29</v>
      </c>
      <c r="I2" s="77" t="s">
        <v>30</v>
      </c>
      <c r="J2" s="77" t="s">
        <v>31</v>
      </c>
      <c r="K2" s="77" t="s">
        <v>32</v>
      </c>
      <c r="L2" s="77" t="s">
        <v>33</v>
      </c>
      <c r="M2" s="77" t="s">
        <v>34</v>
      </c>
      <c r="N2" s="77" t="s">
        <v>35</v>
      </c>
      <c r="O2" s="77" t="s">
        <v>36</v>
      </c>
      <c r="P2" s="77" t="s">
        <v>37</v>
      </c>
      <c r="Q2" s="78" t="s">
        <v>119</v>
      </c>
      <c r="R2" s="78" t="s">
        <v>38</v>
      </c>
      <c r="S2" s="48"/>
      <c r="U2" s="48"/>
      <c r="V2" s="48"/>
      <c r="W2" s="48"/>
    </row>
    <row r="3" spans="1:23" x14ac:dyDescent="0.4">
      <c r="A3" s="64"/>
      <c r="B3" t="str">
        <f>IF(A3="","",A3+MAX(B$2:B2))</f>
        <v/>
      </c>
      <c r="C3" t="s">
        <v>39</v>
      </c>
      <c r="D3" t="s">
        <v>40</v>
      </c>
      <c r="E3" s="42">
        <v>45930</v>
      </c>
      <c r="F3" s="32">
        <v>0.99931553730321698</v>
      </c>
      <c r="G3" t="s">
        <v>41</v>
      </c>
      <c r="H3" s="50">
        <f t="shared" ref="H3:H30" si="0">P3/SUM(P:P)</f>
        <v>3.6721127720937177E-2</v>
      </c>
      <c r="I3" s="43">
        <v>0.96399999999999997</v>
      </c>
      <c r="J3" s="43">
        <f t="shared" ref="J3:J30" si="1">I3*H3</f>
        <v>3.5399167122983438E-2</v>
      </c>
      <c r="K3" s="43">
        <v>5</v>
      </c>
      <c r="L3" s="43">
        <v>3.9820000000000002</v>
      </c>
      <c r="M3" s="43">
        <v>100.985156</v>
      </c>
      <c r="N3" t="s">
        <v>17</v>
      </c>
      <c r="O3" s="52">
        <v>1000</v>
      </c>
      <c r="P3" s="52">
        <f t="shared" ref="P3:P30" si="2">(M3/100)*O3</f>
        <v>1009.8515599999999</v>
      </c>
      <c r="Q3" s="60"/>
      <c r="R3" s="56">
        <f t="shared" ref="R3:R30" si="3">Q3*H3</f>
        <v>0</v>
      </c>
    </row>
    <row r="4" spans="1:23" x14ac:dyDescent="0.4">
      <c r="A4" s="64"/>
      <c r="B4" t="str">
        <f>IF(A4="","",A4+MAX(B$2:B3))</f>
        <v/>
      </c>
      <c r="C4" t="s">
        <v>42</v>
      </c>
      <c r="D4" t="s">
        <v>40</v>
      </c>
      <c r="E4" s="42">
        <v>45991</v>
      </c>
      <c r="F4" s="32">
        <v>1.1663244353182751</v>
      </c>
      <c r="G4" t="s">
        <v>41</v>
      </c>
      <c r="H4" s="50">
        <f t="shared" si="0"/>
        <v>3.6760615644723993E-2</v>
      </c>
      <c r="I4" s="43">
        <v>1.1060000000000001</v>
      </c>
      <c r="J4" s="43">
        <f t="shared" si="1"/>
        <v>4.0657240903064738E-2</v>
      </c>
      <c r="K4" s="43">
        <v>4.875</v>
      </c>
      <c r="L4" s="43">
        <v>3.9</v>
      </c>
      <c r="M4" s="43">
        <v>101.09375</v>
      </c>
      <c r="N4" t="s">
        <v>17</v>
      </c>
      <c r="O4" s="52">
        <v>1000</v>
      </c>
      <c r="P4" s="52">
        <f t="shared" si="2"/>
        <v>1010.9375</v>
      </c>
      <c r="Q4" s="60"/>
      <c r="R4" s="56">
        <f t="shared" si="3"/>
        <v>0</v>
      </c>
    </row>
    <row r="5" spans="1:23" x14ac:dyDescent="0.4">
      <c r="A5" s="64"/>
      <c r="B5" t="str">
        <f>IF(A5="","",A5+MAX(B$2:B4))</f>
        <v/>
      </c>
      <c r="C5" t="s">
        <v>43</v>
      </c>
      <c r="D5" t="s">
        <v>40</v>
      </c>
      <c r="E5" s="42">
        <v>46022</v>
      </c>
      <c r="F5" s="32">
        <v>1.2511978097193703</v>
      </c>
      <c r="G5" t="s">
        <v>41</v>
      </c>
      <c r="H5" s="50">
        <f t="shared" si="0"/>
        <v>3.5824555054980854E-2</v>
      </c>
      <c r="I5" s="43">
        <v>1.204</v>
      </c>
      <c r="J5" s="43">
        <f t="shared" si="1"/>
        <v>4.3132764286196945E-2</v>
      </c>
      <c r="K5" s="43">
        <v>2.625</v>
      </c>
      <c r="L5" s="43">
        <v>3.8490000000000002</v>
      </c>
      <c r="M5" s="43">
        <v>98.519531000000001</v>
      </c>
      <c r="N5" t="s">
        <v>17</v>
      </c>
      <c r="O5" s="52">
        <v>1000</v>
      </c>
      <c r="P5" s="52">
        <f t="shared" si="2"/>
        <v>985.19531000000006</v>
      </c>
      <c r="Q5" s="60"/>
      <c r="R5" s="56">
        <f t="shared" si="3"/>
        <v>0</v>
      </c>
    </row>
    <row r="6" spans="1:23" x14ac:dyDescent="0.4">
      <c r="A6" s="64"/>
      <c r="B6" t="str">
        <f>IF(A6="","",A6+MAX(B$2:B5))</f>
        <v/>
      </c>
      <c r="C6" t="s">
        <v>44</v>
      </c>
      <c r="D6" t="s">
        <v>40</v>
      </c>
      <c r="E6" s="42">
        <v>46081</v>
      </c>
      <c r="F6" s="32">
        <v>1.4127310061601643</v>
      </c>
      <c r="G6" t="s">
        <v>41</v>
      </c>
      <c r="H6" s="50">
        <f t="shared" si="0"/>
        <v>3.6767717682032505E-2</v>
      </c>
      <c r="I6" s="43">
        <v>1.349</v>
      </c>
      <c r="J6" s="43">
        <f t="shared" si="1"/>
        <v>4.9599651153061849E-2</v>
      </c>
      <c r="K6" s="43">
        <v>4.625</v>
      </c>
      <c r="L6" s="43">
        <v>3.8069999999999999</v>
      </c>
      <c r="M6" s="43">
        <v>101.113281</v>
      </c>
      <c r="N6" t="s">
        <v>17</v>
      </c>
      <c r="O6" s="52">
        <v>1000</v>
      </c>
      <c r="P6" s="52">
        <f t="shared" si="2"/>
        <v>1011.1328100000001</v>
      </c>
      <c r="Q6" s="60"/>
      <c r="R6" s="56">
        <f t="shared" si="3"/>
        <v>0</v>
      </c>
    </row>
    <row r="7" spans="1:23" x14ac:dyDescent="0.4">
      <c r="A7" s="64"/>
      <c r="B7" t="str">
        <f>IF(A7="","",A7+MAX(B$2:B6))</f>
        <v/>
      </c>
      <c r="C7" t="s">
        <v>45</v>
      </c>
      <c r="D7" t="s">
        <v>40</v>
      </c>
      <c r="E7" s="42">
        <v>46112</v>
      </c>
      <c r="F7" s="32">
        <v>1.4976043805612593</v>
      </c>
      <c r="G7" t="s">
        <v>41</v>
      </c>
      <c r="H7" s="50">
        <f t="shared" si="0"/>
        <v>3.477628111215058E-2</v>
      </c>
      <c r="I7" s="43">
        <v>1.4590000000000001</v>
      </c>
      <c r="J7" s="43">
        <f t="shared" si="1"/>
        <v>5.0738594142627699E-2</v>
      </c>
      <c r="K7" s="43">
        <v>0.75</v>
      </c>
      <c r="L7" s="43">
        <v>3.7749999999999999</v>
      </c>
      <c r="M7" s="43">
        <v>95.636718999999999</v>
      </c>
      <c r="N7" t="s">
        <v>17</v>
      </c>
      <c r="O7" s="52">
        <v>1000</v>
      </c>
      <c r="P7" s="52">
        <f t="shared" si="2"/>
        <v>956.36719000000005</v>
      </c>
      <c r="Q7" s="60"/>
      <c r="R7" s="56">
        <f t="shared" si="3"/>
        <v>0</v>
      </c>
    </row>
    <row r="8" spans="1:23" x14ac:dyDescent="0.4">
      <c r="A8" s="64"/>
      <c r="B8" t="str">
        <f>IF(A8="","",A8+MAX(B$2:B7))</f>
        <v/>
      </c>
      <c r="C8" t="s">
        <v>46</v>
      </c>
      <c r="D8" t="s">
        <v>40</v>
      </c>
      <c r="E8" s="42">
        <v>46234</v>
      </c>
      <c r="F8" s="32">
        <v>1.8316221765913758</v>
      </c>
      <c r="G8" t="s">
        <v>41</v>
      </c>
      <c r="H8" s="50">
        <f t="shared" si="0"/>
        <v>3.5206669809303329E-2</v>
      </c>
      <c r="I8" s="43">
        <v>1.7649999999999999</v>
      </c>
      <c r="J8" s="43">
        <f t="shared" si="1"/>
        <v>6.2139772213420374E-2</v>
      </c>
      <c r="K8" s="43">
        <v>1.875</v>
      </c>
      <c r="L8" s="43">
        <v>3.6850000000000001</v>
      </c>
      <c r="M8" s="43">
        <v>96.820312000000001</v>
      </c>
      <c r="N8" t="s">
        <v>17</v>
      </c>
      <c r="O8" s="52">
        <v>1000</v>
      </c>
      <c r="P8" s="52">
        <f t="shared" si="2"/>
        <v>968.20312000000001</v>
      </c>
      <c r="Q8" s="60"/>
      <c r="R8" s="56">
        <f t="shared" si="3"/>
        <v>0</v>
      </c>
    </row>
    <row r="9" spans="1:23" x14ac:dyDescent="0.4">
      <c r="A9" s="64"/>
      <c r="B9" t="str">
        <f>IF(A9="","",A9+MAX(B$2:B8))</f>
        <v/>
      </c>
      <c r="C9" t="s">
        <v>47</v>
      </c>
      <c r="D9" t="s">
        <v>40</v>
      </c>
      <c r="E9" s="42">
        <v>46295</v>
      </c>
      <c r="F9" s="32">
        <v>1.998631074606434</v>
      </c>
      <c r="G9" t="s">
        <v>41</v>
      </c>
      <c r="H9" s="50">
        <f t="shared" si="0"/>
        <v>3.4966617966518204E-2</v>
      </c>
      <c r="I9" s="43">
        <v>1.9319999999999999</v>
      </c>
      <c r="J9" s="43">
        <f t="shared" si="1"/>
        <v>6.7555505911313166E-2</v>
      </c>
      <c r="K9" s="43">
        <v>1.625</v>
      </c>
      <c r="L9" s="43">
        <v>3.6360000000000001</v>
      </c>
      <c r="M9" s="43">
        <v>96.160156000000001</v>
      </c>
      <c r="N9" t="s">
        <v>17</v>
      </c>
      <c r="O9" s="52">
        <v>1000</v>
      </c>
      <c r="P9" s="52">
        <f t="shared" si="2"/>
        <v>961.60155999999995</v>
      </c>
      <c r="Q9" s="60"/>
      <c r="R9" s="56">
        <f t="shared" si="3"/>
        <v>0</v>
      </c>
    </row>
    <row r="10" spans="1:23" x14ac:dyDescent="0.4">
      <c r="A10" s="64"/>
      <c r="B10" t="str">
        <f>IF(A10="","",A10+MAX(B$2:B9))</f>
        <v/>
      </c>
      <c r="C10" t="s">
        <v>48</v>
      </c>
      <c r="D10" t="s">
        <v>40</v>
      </c>
      <c r="E10" s="42">
        <v>46326</v>
      </c>
      <c r="F10" s="32">
        <v>2.083504449007529</v>
      </c>
      <c r="G10" t="s">
        <v>41</v>
      </c>
      <c r="H10" s="50">
        <f t="shared" si="0"/>
        <v>3.4537649604101363E-2</v>
      </c>
      <c r="I10" s="43">
        <v>2.0110000000000001</v>
      </c>
      <c r="J10" s="43">
        <f t="shared" si="1"/>
        <v>6.9455213353847842E-2</v>
      </c>
      <c r="K10" s="43">
        <v>1.125</v>
      </c>
      <c r="L10" s="43">
        <v>3.6509999999999998</v>
      </c>
      <c r="M10" s="43">
        <v>94.980468999999999</v>
      </c>
      <c r="N10" t="s">
        <v>17</v>
      </c>
      <c r="O10" s="52">
        <v>1000</v>
      </c>
      <c r="P10" s="52">
        <f t="shared" si="2"/>
        <v>949.80469000000005</v>
      </c>
      <c r="Q10" s="60"/>
      <c r="R10" s="56">
        <f t="shared" si="3"/>
        <v>0</v>
      </c>
    </row>
    <row r="11" spans="1:23" x14ac:dyDescent="0.4">
      <c r="A11" s="64"/>
      <c r="B11" t="str">
        <f>IF(A11="","",A11+MAX(B$2:B10))</f>
        <v/>
      </c>
      <c r="C11" t="s">
        <v>49</v>
      </c>
      <c r="D11" t="s">
        <v>40</v>
      </c>
      <c r="E11" s="42">
        <v>46387</v>
      </c>
      <c r="F11" s="32">
        <v>2.2505133470225873</v>
      </c>
      <c r="G11" t="s">
        <v>41</v>
      </c>
      <c r="H11" s="50">
        <f t="shared" si="0"/>
        <v>3.4918323676465586E-2</v>
      </c>
      <c r="I11" s="43">
        <v>2.16</v>
      </c>
      <c r="J11" s="43">
        <f t="shared" si="1"/>
        <v>7.5423579141165667E-2</v>
      </c>
      <c r="K11" s="43">
        <v>1.75</v>
      </c>
      <c r="L11" s="43">
        <v>3.605</v>
      </c>
      <c r="M11" s="43">
        <v>96.027343999999999</v>
      </c>
      <c r="N11" t="s">
        <v>17</v>
      </c>
      <c r="O11" s="52">
        <v>1000</v>
      </c>
      <c r="P11" s="52">
        <f t="shared" si="2"/>
        <v>960.27344000000005</v>
      </c>
      <c r="Q11" s="60"/>
      <c r="R11" s="56">
        <f t="shared" si="3"/>
        <v>0</v>
      </c>
    </row>
    <row r="12" spans="1:23" x14ac:dyDescent="0.4">
      <c r="A12" s="64"/>
      <c r="B12" t="str">
        <f>IF(A12="","",A12+MAX(B$2:B11))</f>
        <v/>
      </c>
      <c r="C12" t="s">
        <v>50</v>
      </c>
      <c r="D12" t="s">
        <v>40</v>
      </c>
      <c r="E12" s="42">
        <v>46446</v>
      </c>
      <c r="F12" s="32">
        <v>2.4120465434633811</v>
      </c>
      <c r="G12" t="s">
        <v>41</v>
      </c>
      <c r="H12" s="50">
        <f t="shared" si="0"/>
        <v>3.4921164345937401E-2</v>
      </c>
      <c r="I12" s="43">
        <v>2.3149999999999999</v>
      </c>
      <c r="J12" s="43">
        <f t="shared" si="1"/>
        <v>8.0842495460845085E-2</v>
      </c>
      <c r="K12" s="43">
        <v>1.875</v>
      </c>
      <c r="L12" s="43">
        <v>3.6040000000000001</v>
      </c>
      <c r="M12" s="43">
        <v>96.035156000000001</v>
      </c>
      <c r="N12" t="s">
        <v>17</v>
      </c>
      <c r="O12" s="52">
        <v>1000</v>
      </c>
      <c r="P12" s="52">
        <f t="shared" si="2"/>
        <v>960.35155999999995</v>
      </c>
      <c r="Q12" s="60"/>
      <c r="R12" s="56">
        <f t="shared" si="3"/>
        <v>0</v>
      </c>
    </row>
    <row r="13" spans="1:23" x14ac:dyDescent="0.4">
      <c r="A13" s="64"/>
      <c r="B13" t="str">
        <f>IF(A13="","",A13+MAX(B$2:B12))</f>
        <v/>
      </c>
      <c r="C13" t="s">
        <v>51</v>
      </c>
      <c r="D13" t="s">
        <v>40</v>
      </c>
      <c r="E13" s="42">
        <v>46507</v>
      </c>
      <c r="F13" s="32">
        <v>2.5790554414784395</v>
      </c>
      <c r="G13" t="s">
        <v>41</v>
      </c>
      <c r="H13" s="50">
        <f t="shared" si="0"/>
        <v>3.561433205979464E-2</v>
      </c>
      <c r="I13" s="43">
        <v>2.4260000000000002</v>
      </c>
      <c r="J13" s="43">
        <f t="shared" si="1"/>
        <v>8.6400369577061806E-2</v>
      </c>
      <c r="K13" s="43">
        <v>2.75</v>
      </c>
      <c r="L13" s="43">
        <v>3.5910000000000002</v>
      </c>
      <c r="M13" s="43">
        <v>97.941406000000001</v>
      </c>
      <c r="N13" t="s">
        <v>17</v>
      </c>
      <c r="O13" s="52">
        <v>1000</v>
      </c>
      <c r="P13" s="52">
        <f t="shared" si="2"/>
        <v>979.41405999999995</v>
      </c>
      <c r="Q13" s="60"/>
      <c r="R13" s="56">
        <f t="shared" si="3"/>
        <v>0</v>
      </c>
    </row>
    <row r="14" spans="1:23" x14ac:dyDescent="0.4">
      <c r="A14" s="64"/>
      <c r="B14" t="str">
        <f>IF(A14="","",A14+MAX(B$2:B13))</f>
        <v/>
      </c>
      <c r="C14" t="s">
        <v>52</v>
      </c>
      <c r="D14" t="s">
        <v>40</v>
      </c>
      <c r="E14" s="42">
        <v>46538</v>
      </c>
      <c r="F14" s="32">
        <v>2.6639288158795345</v>
      </c>
      <c r="G14" t="s">
        <v>41</v>
      </c>
      <c r="H14" s="50">
        <f t="shared" si="0"/>
        <v>3.5476550863316324E-2</v>
      </c>
      <c r="I14" s="43">
        <v>2.5129999999999999</v>
      </c>
      <c r="J14" s="43">
        <f t="shared" si="1"/>
        <v>8.9152572319513915E-2</v>
      </c>
      <c r="K14" s="43">
        <v>2.625</v>
      </c>
      <c r="L14" s="43">
        <v>3.5920000000000001</v>
      </c>
      <c r="M14" s="43">
        <v>97.5625</v>
      </c>
      <c r="N14" t="s">
        <v>17</v>
      </c>
      <c r="O14" s="52">
        <v>1000</v>
      </c>
      <c r="P14" s="52">
        <f t="shared" si="2"/>
        <v>975.625</v>
      </c>
      <c r="Q14" s="60"/>
      <c r="R14" s="56">
        <f t="shared" si="3"/>
        <v>0</v>
      </c>
    </row>
    <row r="15" spans="1:23" x14ac:dyDescent="0.4">
      <c r="A15" s="64"/>
      <c r="B15" t="str">
        <f>IF(A15="","",A15+MAX(B$2:B14))</f>
        <v/>
      </c>
      <c r="C15" t="s">
        <v>53</v>
      </c>
      <c r="D15" t="s">
        <v>40</v>
      </c>
      <c r="E15" s="42">
        <v>46568</v>
      </c>
      <c r="F15" s="32">
        <v>2.7460643394934978</v>
      </c>
      <c r="G15" t="s">
        <v>41</v>
      </c>
      <c r="H15" s="50">
        <f t="shared" si="0"/>
        <v>3.6056084525721552E-2</v>
      </c>
      <c r="I15" s="43">
        <v>2.5739999999999998</v>
      </c>
      <c r="J15" s="43">
        <f t="shared" si="1"/>
        <v>9.2808361569207271E-2</v>
      </c>
      <c r="K15" s="43">
        <v>3.25</v>
      </c>
      <c r="L15" s="43">
        <v>3.5739999999999998</v>
      </c>
      <c r="M15" s="43">
        <v>99.15625</v>
      </c>
      <c r="N15" t="s">
        <v>17</v>
      </c>
      <c r="O15" s="52">
        <v>1000</v>
      </c>
      <c r="P15" s="52">
        <f t="shared" si="2"/>
        <v>991.5625</v>
      </c>
      <c r="Q15" s="60"/>
      <c r="R15" s="56">
        <f t="shared" si="3"/>
        <v>0</v>
      </c>
    </row>
    <row r="16" spans="1:23" x14ac:dyDescent="0.4">
      <c r="A16" s="64"/>
      <c r="B16" t="str">
        <f>IF(A16="","",A16+MAX(B$2:B15))</f>
        <v/>
      </c>
      <c r="C16" t="s">
        <v>54</v>
      </c>
      <c r="D16" t="s">
        <v>40</v>
      </c>
      <c r="E16" s="42">
        <v>46599</v>
      </c>
      <c r="F16" s="32">
        <v>2.8309377138945928</v>
      </c>
      <c r="G16" t="s">
        <v>41</v>
      </c>
      <c r="H16" s="50">
        <f t="shared" si="0"/>
        <v>3.5551833331496037E-2</v>
      </c>
      <c r="I16" s="43">
        <v>2.673</v>
      </c>
      <c r="J16" s="43">
        <f t="shared" si="1"/>
        <v>9.5030050495088905E-2</v>
      </c>
      <c r="K16" s="43">
        <v>2.75</v>
      </c>
      <c r="L16" s="43">
        <v>3.5840000000000001</v>
      </c>
      <c r="M16" s="43">
        <v>97.769531000000001</v>
      </c>
      <c r="N16" t="s">
        <v>17</v>
      </c>
      <c r="O16" s="52">
        <v>1000</v>
      </c>
      <c r="P16" s="52">
        <f t="shared" si="2"/>
        <v>977.69530999999995</v>
      </c>
      <c r="Q16" s="60"/>
      <c r="R16" s="56">
        <f t="shared" si="3"/>
        <v>0</v>
      </c>
    </row>
    <row r="17" spans="1:18" x14ac:dyDescent="0.4">
      <c r="A17" s="64"/>
      <c r="B17" t="str">
        <f>IF(A17="","",A17+MAX(B$2:B16))</f>
        <v/>
      </c>
      <c r="C17" t="s">
        <v>55</v>
      </c>
      <c r="D17" t="s">
        <v>56</v>
      </c>
      <c r="E17" s="42">
        <v>45959</v>
      </c>
      <c r="F17" s="32">
        <v>1.0787132101300478</v>
      </c>
      <c r="G17" t="s">
        <v>57</v>
      </c>
      <c r="H17" s="50">
        <f t="shared" si="0"/>
        <v>3.4758929101586615E-2</v>
      </c>
      <c r="I17" s="43">
        <v>1.0409999999999999</v>
      </c>
      <c r="J17" s="43">
        <f t="shared" si="1"/>
        <v>3.6184045194751664E-2</v>
      </c>
      <c r="K17" s="43">
        <v>0.73899999999999999</v>
      </c>
      <c r="L17" s="43">
        <v>5.05</v>
      </c>
      <c r="M17" s="43">
        <v>95.588999999999999</v>
      </c>
      <c r="N17" t="s">
        <v>58</v>
      </c>
      <c r="O17" s="52">
        <v>1000</v>
      </c>
      <c r="P17" s="52">
        <f t="shared" si="2"/>
        <v>955.89</v>
      </c>
      <c r="Q17" s="60"/>
      <c r="R17" s="56">
        <f t="shared" si="3"/>
        <v>0</v>
      </c>
    </row>
    <row r="18" spans="1:18" x14ac:dyDescent="0.4">
      <c r="A18" s="64"/>
      <c r="B18" t="str">
        <f>IF(A18="","",A18+MAX(B$2:B17))</f>
        <v/>
      </c>
      <c r="C18" t="s">
        <v>59</v>
      </c>
      <c r="D18" t="s">
        <v>56</v>
      </c>
      <c r="E18" s="42">
        <v>46111</v>
      </c>
      <c r="F18" s="32">
        <v>1.4948665297741273</v>
      </c>
      <c r="G18" t="s">
        <v>60</v>
      </c>
      <c r="H18" s="50">
        <f t="shared" si="0"/>
        <v>3.6742525103732833E-2</v>
      </c>
      <c r="I18" s="43">
        <v>1.407</v>
      </c>
      <c r="J18" s="43">
        <f t="shared" si="1"/>
        <v>5.16967328209521E-2</v>
      </c>
      <c r="K18" s="43">
        <v>5.25</v>
      </c>
      <c r="L18" s="43">
        <v>4.4909999999999997</v>
      </c>
      <c r="M18" s="43">
        <v>101.044</v>
      </c>
      <c r="N18" t="s">
        <v>61</v>
      </c>
      <c r="O18" s="52">
        <v>1000</v>
      </c>
      <c r="P18" s="52">
        <f t="shared" si="2"/>
        <v>1010.44</v>
      </c>
      <c r="Q18" s="60"/>
      <c r="R18" s="56">
        <f t="shared" si="3"/>
        <v>0</v>
      </c>
    </row>
    <row r="19" spans="1:18" x14ac:dyDescent="0.4">
      <c r="A19" s="64"/>
      <c r="B19" t="str">
        <f>IF(A19="","",A19+MAX(B$2:B18))</f>
        <v/>
      </c>
      <c r="C19" t="s">
        <v>62</v>
      </c>
      <c r="D19" t="s">
        <v>56</v>
      </c>
      <c r="E19" s="42">
        <v>46163</v>
      </c>
      <c r="F19" s="32">
        <v>1.6372347707049966</v>
      </c>
      <c r="G19" t="s">
        <v>57</v>
      </c>
      <c r="H19" s="50">
        <f t="shared" si="0"/>
        <v>3.670979849691465E-2</v>
      </c>
      <c r="I19" s="43">
        <v>1.5469999999999999</v>
      </c>
      <c r="J19" s="43">
        <f t="shared" si="1"/>
        <v>5.6790058274726961E-2</v>
      </c>
      <c r="K19" s="43">
        <v>5.15</v>
      </c>
      <c r="L19" s="43">
        <v>4.5149999999999997</v>
      </c>
      <c r="M19" s="43">
        <v>100.95399999999999</v>
      </c>
      <c r="N19" t="s">
        <v>17</v>
      </c>
      <c r="O19" s="52">
        <v>1000</v>
      </c>
      <c r="P19" s="52">
        <f t="shared" si="2"/>
        <v>1009.5399999999998</v>
      </c>
      <c r="Q19" s="60"/>
      <c r="R19" s="56">
        <f t="shared" si="3"/>
        <v>0</v>
      </c>
    </row>
    <row r="20" spans="1:18" x14ac:dyDescent="0.4">
      <c r="A20" s="64"/>
      <c r="B20" t="str">
        <f>IF(A20="","",A20+MAX(B$2:B19))</f>
        <v/>
      </c>
      <c r="C20" t="s">
        <v>63</v>
      </c>
      <c r="D20" t="s">
        <v>56</v>
      </c>
      <c r="E20" s="42">
        <v>46168</v>
      </c>
      <c r="F20" s="32">
        <v>1.6509240246406571</v>
      </c>
      <c r="G20" t="s">
        <v>64</v>
      </c>
      <c r="H20" s="50">
        <f t="shared" si="0"/>
        <v>3.663183644689446E-2</v>
      </c>
      <c r="I20" s="43">
        <v>1.5580000000000001</v>
      </c>
      <c r="J20" s="43">
        <f t="shared" si="1"/>
        <v>5.7072401184261573E-2</v>
      </c>
      <c r="K20" s="43">
        <v>5.25</v>
      </c>
      <c r="L20" s="43">
        <v>4.7549999999999999</v>
      </c>
      <c r="M20" s="43">
        <v>100.7396</v>
      </c>
      <c r="N20" t="s">
        <v>65</v>
      </c>
      <c r="O20" s="52">
        <v>1000</v>
      </c>
      <c r="P20" s="52">
        <f t="shared" si="2"/>
        <v>1007.396</v>
      </c>
      <c r="Q20" s="60"/>
      <c r="R20" s="56">
        <f t="shared" si="3"/>
        <v>0</v>
      </c>
    </row>
    <row r="21" spans="1:18" x14ac:dyDescent="0.4">
      <c r="A21" s="64"/>
      <c r="B21" t="str">
        <f>IF(A21="","",A21+MAX(B$2:B20))</f>
        <v/>
      </c>
      <c r="C21" t="s">
        <v>66</v>
      </c>
      <c r="D21" t="s">
        <v>56</v>
      </c>
      <c r="E21" s="42">
        <v>46179</v>
      </c>
      <c r="F21" s="32">
        <v>1.6810403832991101</v>
      </c>
      <c r="G21" t="s">
        <v>60</v>
      </c>
      <c r="H21" s="50">
        <f t="shared" si="0"/>
        <v>3.6778524371232829E-2</v>
      </c>
      <c r="I21" s="43">
        <v>1.585</v>
      </c>
      <c r="J21" s="43">
        <f t="shared" si="1"/>
        <v>5.8293961128404036E-2</v>
      </c>
      <c r="K21" s="43">
        <v>5.5</v>
      </c>
      <c r="L21" s="43">
        <v>4.758</v>
      </c>
      <c r="M21" s="43">
        <v>101.143</v>
      </c>
      <c r="N21" t="s">
        <v>67</v>
      </c>
      <c r="O21" s="52">
        <v>1000</v>
      </c>
      <c r="P21" s="52">
        <f t="shared" si="2"/>
        <v>1011.4300000000001</v>
      </c>
      <c r="Q21" s="60"/>
      <c r="R21" s="56">
        <f t="shared" si="3"/>
        <v>0</v>
      </c>
    </row>
    <row r="22" spans="1:18" x14ac:dyDescent="0.4">
      <c r="A22" s="64"/>
      <c r="B22" t="str">
        <f>IF(A22="","",A22+MAX(B$2:B21))</f>
        <v/>
      </c>
      <c r="C22" t="s">
        <v>68</v>
      </c>
      <c r="D22" t="s">
        <v>56</v>
      </c>
      <c r="E22" s="42">
        <v>46195</v>
      </c>
      <c r="F22" s="32">
        <v>1.7248459958932238</v>
      </c>
      <c r="G22" t="s">
        <v>64</v>
      </c>
      <c r="H22" s="50">
        <f t="shared" si="0"/>
        <v>3.7411047500882193E-2</v>
      </c>
      <c r="I22" s="43">
        <v>1.6180000000000001</v>
      </c>
      <c r="J22" s="43">
        <f t="shared" si="1"/>
        <v>6.0531074856427391E-2</v>
      </c>
      <c r="K22" s="43">
        <v>6.625</v>
      </c>
      <c r="L22" s="43">
        <v>4.8230000000000004</v>
      </c>
      <c r="M22" s="43">
        <v>102.882474</v>
      </c>
      <c r="N22" t="s">
        <v>58</v>
      </c>
      <c r="O22" s="52">
        <v>1000</v>
      </c>
      <c r="P22" s="52">
        <f t="shared" si="2"/>
        <v>1028.82474</v>
      </c>
      <c r="Q22" s="60"/>
      <c r="R22" s="56">
        <f t="shared" si="3"/>
        <v>0</v>
      </c>
    </row>
    <row r="23" spans="1:18" x14ac:dyDescent="0.4">
      <c r="A23" s="64"/>
      <c r="B23" t="str">
        <f>IF(A23="","",A23+MAX(B$2:B22))</f>
        <v/>
      </c>
      <c r="C23" t="s">
        <v>69</v>
      </c>
      <c r="D23" t="s">
        <v>56</v>
      </c>
      <c r="E23" s="42">
        <v>46206</v>
      </c>
      <c r="F23" s="32">
        <v>1.754962354551677</v>
      </c>
      <c r="G23" t="s">
        <v>60</v>
      </c>
      <c r="H23" s="50">
        <f t="shared" si="0"/>
        <v>3.5044232387248186E-2</v>
      </c>
      <c r="I23" s="43">
        <v>1.6759999999999999</v>
      </c>
      <c r="J23" s="43">
        <f t="shared" si="1"/>
        <v>5.8734133481027961E-2</v>
      </c>
      <c r="K23" s="43">
        <v>2.274</v>
      </c>
      <c r="L23" s="43">
        <v>4.4420000000000002</v>
      </c>
      <c r="M23" s="43">
        <v>96.373599999999996</v>
      </c>
      <c r="N23" t="s">
        <v>58</v>
      </c>
      <c r="O23" s="52">
        <v>1000</v>
      </c>
      <c r="P23" s="52">
        <f t="shared" si="2"/>
        <v>963.73599999999988</v>
      </c>
      <c r="Q23" s="60"/>
      <c r="R23" s="56">
        <f t="shared" si="3"/>
        <v>0</v>
      </c>
    </row>
    <row r="24" spans="1:18" x14ac:dyDescent="0.4">
      <c r="A24" s="64"/>
      <c r="B24" t="str">
        <f>IF(A24="","",A24+MAX(B$2:B23))</f>
        <v/>
      </c>
      <c r="C24" t="s">
        <v>70</v>
      </c>
      <c r="D24" t="s">
        <v>56</v>
      </c>
      <c r="E24" s="42">
        <v>46219</v>
      </c>
      <c r="F24" s="32">
        <v>1.7905544147843941</v>
      </c>
      <c r="G24" t="s">
        <v>60</v>
      </c>
      <c r="H24" s="50">
        <f t="shared" si="0"/>
        <v>3.5812224396789688E-2</v>
      </c>
      <c r="I24" s="43">
        <v>1.6890000000000001</v>
      </c>
      <c r="J24" s="43">
        <f t="shared" si="1"/>
        <v>6.0486847006177784E-2</v>
      </c>
      <c r="K24" s="43">
        <v>3.75</v>
      </c>
      <c r="L24" s="43">
        <v>4.6379999999999999</v>
      </c>
      <c r="M24" s="43">
        <v>98.485620999999995</v>
      </c>
      <c r="N24" t="s">
        <v>58</v>
      </c>
      <c r="O24" s="52">
        <v>1000</v>
      </c>
      <c r="P24" s="52">
        <f t="shared" si="2"/>
        <v>984.85620999999992</v>
      </c>
      <c r="Q24" s="60"/>
      <c r="R24" s="56">
        <f t="shared" si="3"/>
        <v>0</v>
      </c>
    </row>
    <row r="25" spans="1:18" x14ac:dyDescent="0.4">
      <c r="A25" s="64"/>
      <c r="B25" t="str">
        <f>IF(A25="","",A25+MAX(B$2:B24))</f>
        <v/>
      </c>
      <c r="C25" t="s">
        <v>71</v>
      </c>
      <c r="D25" t="s">
        <v>56</v>
      </c>
      <c r="E25" s="42">
        <v>46251</v>
      </c>
      <c r="F25" s="32">
        <v>1.8781656399726214</v>
      </c>
      <c r="G25" t="s">
        <v>60</v>
      </c>
      <c r="H25" s="50">
        <f t="shared" si="0"/>
        <v>3.5795562554000633E-2</v>
      </c>
      <c r="I25" s="43">
        <v>1.7889999999999999</v>
      </c>
      <c r="J25" s="43">
        <f t="shared" si="1"/>
        <v>6.4038261409107136E-2</v>
      </c>
      <c r="K25" s="43">
        <v>4</v>
      </c>
      <c r="L25" s="43">
        <v>4.8840000000000003</v>
      </c>
      <c r="M25" s="43">
        <v>98.439800000000005</v>
      </c>
      <c r="N25" t="s">
        <v>72</v>
      </c>
      <c r="O25" s="52">
        <v>1000</v>
      </c>
      <c r="P25" s="52">
        <f t="shared" si="2"/>
        <v>984.39800000000014</v>
      </c>
      <c r="Q25" s="60"/>
      <c r="R25" s="56">
        <f t="shared" si="3"/>
        <v>0</v>
      </c>
    </row>
    <row r="26" spans="1:18" x14ac:dyDescent="0.4">
      <c r="A26" s="64"/>
      <c r="B26" t="str">
        <f>IF(A26="","",A26+MAX(B$2:B25))</f>
        <v/>
      </c>
      <c r="C26" t="s">
        <v>73</v>
      </c>
      <c r="D26" t="s">
        <v>56</v>
      </c>
      <c r="E26" s="42">
        <v>46274</v>
      </c>
      <c r="F26" s="32">
        <v>1.9411362080766599</v>
      </c>
      <c r="G26" t="s">
        <v>60</v>
      </c>
      <c r="H26" s="50">
        <f t="shared" si="0"/>
        <v>3.3908473679071571E-2</v>
      </c>
      <c r="I26" s="43">
        <v>1.88</v>
      </c>
      <c r="J26" s="43">
        <f t="shared" si="1"/>
        <v>6.3747930516654547E-2</v>
      </c>
      <c r="K26" s="43">
        <v>1</v>
      </c>
      <c r="L26" s="43">
        <v>4.7240000000000002</v>
      </c>
      <c r="M26" s="43">
        <v>93.250200000000007</v>
      </c>
      <c r="N26" t="s">
        <v>74</v>
      </c>
      <c r="O26" s="52">
        <v>1000</v>
      </c>
      <c r="P26" s="52">
        <f t="shared" si="2"/>
        <v>932.50200000000007</v>
      </c>
      <c r="Q26" s="60"/>
      <c r="R26" s="56">
        <f t="shared" si="3"/>
        <v>0</v>
      </c>
    </row>
    <row r="27" spans="1:18" x14ac:dyDescent="0.4">
      <c r="A27" s="64"/>
      <c r="B27" t="str">
        <f>IF(A27="","",A27+MAX(B$2:B26))</f>
        <v/>
      </c>
      <c r="C27" t="s">
        <v>75</v>
      </c>
      <c r="D27" t="s">
        <v>56</v>
      </c>
      <c r="E27" s="42">
        <v>46295</v>
      </c>
      <c r="F27" s="32">
        <v>1.998631074606434</v>
      </c>
      <c r="G27" t="s">
        <v>57</v>
      </c>
      <c r="H27" s="50">
        <f t="shared" si="0"/>
        <v>3.7651524789555954E-2</v>
      </c>
      <c r="I27" s="43">
        <v>2.0409999999999999</v>
      </c>
      <c r="J27" s="43">
        <f t="shared" si="1"/>
        <v>7.6846762095483703E-2</v>
      </c>
      <c r="K27" s="43">
        <v>7</v>
      </c>
      <c r="L27" s="43">
        <v>6.1470000000000002</v>
      </c>
      <c r="M27" s="43">
        <v>103.5438</v>
      </c>
      <c r="N27" t="s">
        <v>76</v>
      </c>
      <c r="O27" s="52">
        <v>1000</v>
      </c>
      <c r="P27" s="52">
        <f t="shared" si="2"/>
        <v>1035.4380000000001</v>
      </c>
      <c r="Q27" s="60"/>
      <c r="R27" s="56">
        <f t="shared" si="3"/>
        <v>0</v>
      </c>
    </row>
    <row r="28" spans="1:18" x14ac:dyDescent="0.4">
      <c r="A28" s="64"/>
      <c r="B28" t="str">
        <f>IF(A28="","",A28+MAX(B$2:B27))</f>
        <v/>
      </c>
      <c r="C28" t="s">
        <v>77</v>
      </c>
      <c r="D28" t="s">
        <v>56</v>
      </c>
      <c r="E28" s="42">
        <v>46342</v>
      </c>
      <c r="F28" s="32">
        <v>2.1273100616016429</v>
      </c>
      <c r="G28" t="s">
        <v>57</v>
      </c>
      <c r="H28" s="50">
        <f t="shared" si="0"/>
        <v>3.5078377147028494E-2</v>
      </c>
      <c r="I28" s="43">
        <v>1.9710000000000001</v>
      </c>
      <c r="J28" s="43">
        <f t="shared" si="1"/>
        <v>6.9139481356793167E-2</v>
      </c>
      <c r="K28" s="43">
        <v>3.375</v>
      </c>
      <c r="L28" s="43">
        <v>5.1680000000000001</v>
      </c>
      <c r="M28" s="43">
        <v>96.467500000000001</v>
      </c>
      <c r="N28" t="s">
        <v>67</v>
      </c>
      <c r="O28" s="52">
        <v>1000</v>
      </c>
      <c r="P28" s="52">
        <f t="shared" si="2"/>
        <v>964.67500000000007</v>
      </c>
      <c r="Q28" s="60"/>
      <c r="R28" s="56">
        <f t="shared" si="3"/>
        <v>0</v>
      </c>
    </row>
    <row r="29" spans="1:18" x14ac:dyDescent="0.4">
      <c r="A29" s="64"/>
      <c r="B29" t="str">
        <f>IF(A29="","",A29+MAX(B$2:B28))</f>
        <v/>
      </c>
      <c r="C29" t="s">
        <v>78</v>
      </c>
      <c r="D29" t="s">
        <v>56</v>
      </c>
      <c r="E29" s="42">
        <v>46435</v>
      </c>
      <c r="F29" s="32">
        <v>2.3819301848049284</v>
      </c>
      <c r="G29" t="s">
        <v>57</v>
      </c>
      <c r="H29" s="50">
        <f t="shared" si="0"/>
        <v>3.3839165998409956E-2</v>
      </c>
      <c r="I29" s="43">
        <v>2.266</v>
      </c>
      <c r="J29" s="43">
        <f t="shared" si="1"/>
        <v>7.6679550152396955E-2</v>
      </c>
      <c r="K29" s="43">
        <v>1.75</v>
      </c>
      <c r="L29" s="43">
        <v>4.9109999999999996</v>
      </c>
      <c r="M29" s="43">
        <v>93.059600000000003</v>
      </c>
      <c r="N29" t="s">
        <v>79</v>
      </c>
      <c r="O29" s="52">
        <v>1000</v>
      </c>
      <c r="P29" s="52">
        <f t="shared" si="2"/>
        <v>930.596</v>
      </c>
      <c r="Q29" s="60"/>
      <c r="R29" s="56">
        <f t="shared" si="3"/>
        <v>0</v>
      </c>
    </row>
    <row r="30" spans="1:18" x14ac:dyDescent="0.4">
      <c r="A30" s="64"/>
      <c r="B30" t="str">
        <f>IF(A30="","",A30+MAX(B$2:B29))</f>
        <v/>
      </c>
      <c r="C30" t="s">
        <v>80</v>
      </c>
      <c r="D30" t="s">
        <v>56</v>
      </c>
      <c r="E30" s="42">
        <v>46566</v>
      </c>
      <c r="F30" s="32">
        <v>2.7405886379192332</v>
      </c>
      <c r="G30" t="s">
        <v>64</v>
      </c>
      <c r="H30" s="50">
        <f t="shared" si="0"/>
        <v>3.5738254629172357E-2</v>
      </c>
      <c r="I30" s="43">
        <v>2.5619999999999998</v>
      </c>
      <c r="J30" s="43">
        <f t="shared" si="1"/>
        <v>9.1561408359939575E-2</v>
      </c>
      <c r="K30" s="43">
        <v>3.92</v>
      </c>
      <c r="L30" s="43">
        <v>4.5949999999999998</v>
      </c>
      <c r="M30" s="43">
        <v>98.282200000000003</v>
      </c>
      <c r="N30" t="s">
        <v>17</v>
      </c>
      <c r="O30" s="52">
        <v>1000</v>
      </c>
      <c r="P30" s="52">
        <f t="shared" si="2"/>
        <v>982.82200000000012</v>
      </c>
      <c r="Q30" s="60"/>
      <c r="R30" s="56">
        <f t="shared" si="3"/>
        <v>0</v>
      </c>
    </row>
    <row r="31" spans="1:18" x14ac:dyDescent="0.4">
      <c r="A31" s="64"/>
      <c r="B31" t="str">
        <f>IF(A31="","",A31+MAX(B$2:B30))</f>
        <v/>
      </c>
      <c r="E31" s="42"/>
      <c r="F31" s="32"/>
      <c r="H31" s="50"/>
      <c r="J31" s="43"/>
      <c r="Q31" s="60"/>
    </row>
    <row r="32" spans="1:18" x14ac:dyDescent="0.4">
      <c r="A32" s="64"/>
      <c r="B32" t="str">
        <f>IF(A32="","",A32+MAX(B$2:B31))</f>
        <v/>
      </c>
      <c r="C32" s="49" t="s">
        <v>81</v>
      </c>
      <c r="E32" s="42"/>
      <c r="F32" s="32"/>
      <c r="H32" s="50"/>
      <c r="J32" s="43"/>
      <c r="Q32" s="60"/>
    </row>
    <row r="33" spans="1:18" x14ac:dyDescent="0.4">
      <c r="A33" s="64"/>
      <c r="B33" t="str">
        <f>IF(A33="","",A33+MAX(B$2:B32))</f>
        <v/>
      </c>
      <c r="C33" t="s">
        <v>82</v>
      </c>
      <c r="D33" t="s">
        <v>40</v>
      </c>
      <c r="E33" s="42"/>
      <c r="F33" s="32">
        <v>2.96</v>
      </c>
      <c r="G33" t="s">
        <v>83</v>
      </c>
      <c r="H33" s="50">
        <v>0</v>
      </c>
      <c r="I33" s="43">
        <v>2.56</v>
      </c>
      <c r="J33" s="43">
        <v>0</v>
      </c>
      <c r="K33" s="43">
        <v>5.07</v>
      </c>
      <c r="L33" s="43">
        <v>2.96</v>
      </c>
      <c r="M33" s="43">
        <v>98.56</v>
      </c>
      <c r="N33" t="s">
        <v>84</v>
      </c>
      <c r="O33" s="52">
        <v>0</v>
      </c>
      <c r="P33" s="52">
        <v>0</v>
      </c>
      <c r="Q33" s="60"/>
      <c r="R33" s="56"/>
    </row>
    <row r="34" spans="1:18" x14ac:dyDescent="0.4">
      <c r="A34" s="64"/>
      <c r="B34" t="str">
        <f>IF(A34="","",A34+MAX(B$2:B33))</f>
        <v/>
      </c>
      <c r="C34" t="s">
        <v>85</v>
      </c>
      <c r="D34" t="s">
        <v>40</v>
      </c>
      <c r="E34" s="42"/>
      <c r="F34" s="32">
        <v>2.72</v>
      </c>
      <c r="G34" t="s">
        <v>41</v>
      </c>
      <c r="H34" s="50">
        <v>0</v>
      </c>
      <c r="I34" s="43">
        <v>2.54</v>
      </c>
      <c r="J34" s="43">
        <v>0</v>
      </c>
      <c r="K34" s="43">
        <v>2.76</v>
      </c>
      <c r="L34" s="43">
        <v>3.93</v>
      </c>
      <c r="M34" s="43">
        <v>97.06</v>
      </c>
      <c r="N34" t="s">
        <v>17</v>
      </c>
      <c r="O34" s="52">
        <v>0</v>
      </c>
      <c r="P34" s="52">
        <v>0</v>
      </c>
      <c r="Q34" s="60"/>
    </row>
    <row r="35" spans="1:18" x14ac:dyDescent="0.4">
      <c r="B35" t="str">
        <f>IF(A35="","",A35+MAX(B$2:B34))</f>
        <v/>
      </c>
      <c r="D35" s="48"/>
      <c r="E35" s="48"/>
      <c r="F35" s="48"/>
      <c r="G35" t="s">
        <v>86</v>
      </c>
      <c r="H35" s="48"/>
      <c r="I35" s="48"/>
      <c r="J35" s="48"/>
      <c r="K35" s="48"/>
      <c r="L35" s="48"/>
      <c r="M35" s="48"/>
      <c r="N35" s="48"/>
      <c r="O35" s="48"/>
      <c r="P35" s="48"/>
      <c r="Q35" s="57"/>
      <c r="R35" s="57"/>
    </row>
    <row r="36" spans="1:18" x14ac:dyDescent="0.4">
      <c r="B36" t="str">
        <f>IF(A36="","",A36+MAX(B$2:B35))</f>
        <v/>
      </c>
      <c r="E36" s="42"/>
      <c r="F36" s="32"/>
      <c r="H36" s="50"/>
      <c r="I36" s="43"/>
      <c r="J36" s="43"/>
      <c r="K36" s="43"/>
      <c r="L36" s="43"/>
      <c r="M36" s="43"/>
      <c r="O36" s="52"/>
      <c r="P36" s="52"/>
      <c r="R36" s="56"/>
    </row>
    <row r="37" spans="1:18" x14ac:dyDescent="0.4">
      <c r="B37" t="str">
        <f>IF(A37="","",A37+MAX(B$2:B36))</f>
        <v/>
      </c>
      <c r="E37" s="48"/>
      <c r="F37" s="48"/>
      <c r="G37" s="48"/>
      <c r="H37" s="48"/>
      <c r="I37" s="48"/>
      <c r="J37" s="48"/>
      <c r="K37" s="48"/>
      <c r="L37" s="48"/>
      <c r="M37" s="48"/>
      <c r="N37" s="48"/>
      <c r="O37" s="48"/>
      <c r="P37" s="48"/>
      <c r="Q37" s="57"/>
      <c r="R37" s="57"/>
    </row>
    <row r="38" spans="1:18" x14ac:dyDescent="0.4">
      <c r="B38" t="str">
        <f>IF(A38="","",A38+MAX(B$2:B37))</f>
        <v/>
      </c>
      <c r="E38" s="42"/>
      <c r="F38" s="32"/>
      <c r="H38" s="50"/>
      <c r="J38" s="43"/>
    </row>
    <row r="39" spans="1:18" x14ac:dyDescent="0.4">
      <c r="B39" t="str">
        <f>IF(A39="","",A39+MAX(B$2:B38))</f>
        <v/>
      </c>
      <c r="E39" s="42"/>
      <c r="F39" s="32"/>
      <c r="H39" s="50"/>
      <c r="J39" s="43"/>
    </row>
    <row r="40" spans="1:18" x14ac:dyDescent="0.4">
      <c r="B40" t="str">
        <f>IF(A40="","",A40+MAX(B$2:B39))</f>
        <v/>
      </c>
      <c r="E40" s="42"/>
      <c r="F40" s="32"/>
      <c r="H40" s="50"/>
      <c r="J40" s="43"/>
    </row>
    <row r="41" spans="1:18" x14ac:dyDescent="0.4">
      <c r="B41" t="str">
        <f>IF(A41="","",A41+MAX(B$2:B40))</f>
        <v/>
      </c>
      <c r="E41" s="42"/>
      <c r="F41" s="32"/>
      <c r="H41" s="50"/>
      <c r="J41" s="43"/>
    </row>
    <row r="42" spans="1:18" x14ac:dyDescent="0.4">
      <c r="B42" t="str">
        <f>IF(A42="","",A42+MAX(B$2:B41))</f>
        <v/>
      </c>
      <c r="E42" s="42"/>
      <c r="F42" s="32"/>
      <c r="H42" s="50"/>
      <c r="J42" s="43"/>
    </row>
    <row r="43" spans="1:18" x14ac:dyDescent="0.4">
      <c r="B43" t="str">
        <f>IF(A43="","",A43+MAX(B$2:B42))</f>
        <v/>
      </c>
      <c r="E43" s="42"/>
      <c r="F43" s="32"/>
      <c r="H43" s="50"/>
      <c r="J43" s="43"/>
    </row>
    <row r="44" spans="1:18" x14ac:dyDescent="0.4">
      <c r="B44" t="str">
        <f>IF(A44="","",A44+MAX(B$2:B43))</f>
        <v/>
      </c>
      <c r="E44" s="42"/>
      <c r="F44" s="32"/>
      <c r="H44" s="50"/>
      <c r="J44" s="43"/>
    </row>
    <row r="45" spans="1:18" x14ac:dyDescent="0.4">
      <c r="B45" t="str">
        <f>IF(A45="","",A45+MAX(B$2:B44))</f>
        <v/>
      </c>
      <c r="E45" s="42"/>
      <c r="F45" s="32"/>
      <c r="H45" s="50"/>
      <c r="J45" s="43"/>
    </row>
    <row r="46" spans="1:18" x14ac:dyDescent="0.4">
      <c r="B46" t="str">
        <f>IF(A46="","",A46+MAX(B$2:B45))</f>
        <v/>
      </c>
      <c r="E46" s="42"/>
      <c r="F46" s="32"/>
      <c r="H46" s="50"/>
      <c r="J46" s="43"/>
    </row>
    <row r="47" spans="1:18" x14ac:dyDescent="0.4">
      <c r="B47" t="str">
        <f>IF(A47="","",A47+MAX(B$2:B46))</f>
        <v/>
      </c>
      <c r="E47" s="42"/>
      <c r="F47" s="32"/>
      <c r="H47" s="50"/>
      <c r="J47" s="43"/>
    </row>
    <row r="48" spans="1:18" x14ac:dyDescent="0.4">
      <c r="B48" t="str">
        <f>IF(A48="","",A48+MAX(B$2:B47))</f>
        <v/>
      </c>
      <c r="E48" s="42"/>
      <c r="F48" s="32"/>
      <c r="H48" s="50"/>
      <c r="J48" s="43"/>
    </row>
    <row r="49" spans="2:10" x14ac:dyDescent="0.4">
      <c r="B49" t="str">
        <f>IF(A49="","",A49+MAX(B$2:B48))</f>
        <v/>
      </c>
      <c r="E49" s="42"/>
      <c r="F49" s="32"/>
      <c r="H49" s="50"/>
      <c r="J49" s="43"/>
    </row>
    <row r="50" spans="2:10" x14ac:dyDescent="0.4">
      <c r="B50" t="str">
        <f>IF(A50="","",A50+MAX(B$2:B49))</f>
        <v/>
      </c>
      <c r="E50" s="42"/>
      <c r="F50" s="32"/>
      <c r="H50" s="50"/>
      <c r="J50" s="43"/>
    </row>
    <row r="51" spans="2:10" x14ac:dyDescent="0.4">
      <c r="B51" t="str">
        <f>IF(A51="","",A51+MAX(B$2:B50))</f>
        <v/>
      </c>
      <c r="E51" s="42"/>
      <c r="F51" s="32"/>
      <c r="H51" s="50"/>
      <c r="J51" s="43"/>
    </row>
    <row r="52" spans="2:10" x14ac:dyDescent="0.4">
      <c r="B52" t="str">
        <f>IF(A52="","",A52+MAX(B$2:B51))</f>
        <v/>
      </c>
      <c r="E52" s="42"/>
      <c r="F52" s="32"/>
      <c r="H52" s="50"/>
      <c r="J52" s="43"/>
    </row>
    <row r="53" spans="2:10" x14ac:dyDescent="0.4">
      <c r="B53" t="str">
        <f>IF(A53="","",A53+MAX(B$2:B52))</f>
        <v/>
      </c>
      <c r="E53" s="42"/>
      <c r="F53" s="32"/>
      <c r="H53" s="50"/>
      <c r="J53" s="43"/>
    </row>
    <row r="54" spans="2:10" x14ac:dyDescent="0.4">
      <c r="B54" t="str">
        <f>IF(A54="","",A54+MAX(B$2:B53))</f>
        <v/>
      </c>
      <c r="E54" s="42"/>
      <c r="F54" s="32"/>
      <c r="H54" s="50"/>
      <c r="J54" s="43"/>
    </row>
    <row r="55" spans="2:10" x14ac:dyDescent="0.4">
      <c r="B55" t="str">
        <f>IF(A55="","",A55+MAX(B$2:B54))</f>
        <v/>
      </c>
      <c r="E55" s="42"/>
      <c r="F55" s="32"/>
      <c r="H55" s="50"/>
      <c r="J55" s="43"/>
    </row>
    <row r="56" spans="2:10" x14ac:dyDescent="0.4">
      <c r="B56" t="str">
        <f>IF(A56="","",A56+MAX(B$2:B55))</f>
        <v/>
      </c>
      <c r="E56" s="42"/>
      <c r="F56" s="32"/>
      <c r="H56" s="50"/>
      <c r="J56" s="43"/>
    </row>
    <row r="57" spans="2:10" x14ac:dyDescent="0.4">
      <c r="B57" t="str">
        <f>IF(A57="","",A57+MAX(B$2:B56))</f>
        <v/>
      </c>
      <c r="E57" s="42"/>
      <c r="F57" s="32"/>
      <c r="H57" s="50"/>
      <c r="J57" s="43"/>
    </row>
    <row r="58" spans="2:10" x14ac:dyDescent="0.4">
      <c r="B58" t="str">
        <f>IF(A58="","",A58+MAX(B$2:B57))</f>
        <v/>
      </c>
      <c r="E58" s="42"/>
      <c r="F58" s="32"/>
      <c r="H58" s="50"/>
      <c r="J58" s="43"/>
    </row>
    <row r="59" spans="2:10" x14ac:dyDescent="0.4">
      <c r="B59" t="str">
        <f>IF(A59="","",A59+MAX(B$2:B58))</f>
        <v/>
      </c>
      <c r="E59" s="42"/>
      <c r="F59" s="32"/>
      <c r="H59" s="50"/>
      <c r="J59" s="43"/>
    </row>
    <row r="60" spans="2:10" x14ac:dyDescent="0.4">
      <c r="B60" t="str">
        <f>IF(A60="","",A60+MAX(B$2:B59))</f>
        <v/>
      </c>
      <c r="E60" s="42"/>
      <c r="F60" s="32"/>
      <c r="H60" s="50"/>
      <c r="J60" s="43"/>
    </row>
    <row r="61" spans="2:10" x14ac:dyDescent="0.4">
      <c r="B61" t="str">
        <f>IF(A61="","",A61+MAX(B$2:B60))</f>
        <v/>
      </c>
      <c r="E61" s="42"/>
      <c r="F61" s="32"/>
      <c r="H61" s="50"/>
      <c r="J61" s="43"/>
    </row>
    <row r="62" spans="2:10" x14ac:dyDescent="0.4">
      <c r="B62" t="str">
        <f>IF(A62="","",A62+MAX(B$2:B61))</f>
        <v/>
      </c>
      <c r="E62" s="42"/>
      <c r="F62" s="32"/>
      <c r="H62" s="50"/>
      <c r="J62" s="43"/>
    </row>
    <row r="63" spans="2:10" x14ac:dyDescent="0.4">
      <c r="B63" t="str">
        <f>IF(A63="","",A63+MAX(B$2:B62))</f>
        <v/>
      </c>
      <c r="E63" s="42"/>
      <c r="F63" s="32"/>
      <c r="H63" s="50"/>
      <c r="J63" s="43"/>
    </row>
    <row r="64" spans="2:10" x14ac:dyDescent="0.4">
      <c r="B64" t="str">
        <f>IF(A64="","",A64+MAX(B$2:B63))</f>
        <v/>
      </c>
      <c r="E64" s="42"/>
      <c r="F64" s="32"/>
      <c r="H64" s="50"/>
      <c r="J64" s="43"/>
    </row>
    <row r="65" spans="2:10" x14ac:dyDescent="0.4">
      <c r="B65" t="str">
        <f>IF(A65="","",A65+MAX(B$2:B64))</f>
        <v/>
      </c>
      <c r="E65" s="42"/>
      <c r="F65" s="32"/>
      <c r="H65" s="50"/>
      <c r="J65" s="43"/>
    </row>
    <row r="66" spans="2:10" x14ac:dyDescent="0.4">
      <c r="B66" t="str">
        <f>IF(A66="","",A66+MAX(B$2:B65))</f>
        <v/>
      </c>
      <c r="E66" s="42"/>
      <c r="F66" s="32"/>
      <c r="H66" s="50"/>
      <c r="J66" s="43"/>
    </row>
    <row r="67" spans="2:10" x14ac:dyDescent="0.4">
      <c r="B67" t="str">
        <f>IF(A67="","",A67+MAX(B$2:B66))</f>
        <v/>
      </c>
      <c r="E67" s="42"/>
      <c r="F67" s="32"/>
      <c r="H67" s="50"/>
      <c r="J67" s="43"/>
    </row>
    <row r="68" spans="2:10" x14ac:dyDescent="0.4">
      <c r="B68" t="str">
        <f>IF(A68="","",A68+MAX(B$2:B67))</f>
        <v/>
      </c>
      <c r="E68" s="42"/>
      <c r="F68" s="32"/>
      <c r="H68" s="50"/>
      <c r="J68" s="43"/>
    </row>
    <row r="69" spans="2:10" x14ac:dyDescent="0.4">
      <c r="B69" t="str">
        <f>IF(A69="","",A69+MAX(B$2:B68))</f>
        <v/>
      </c>
      <c r="E69" s="42"/>
      <c r="F69" s="32"/>
      <c r="H69" s="50"/>
      <c r="J69" s="43"/>
    </row>
    <row r="70" spans="2:10" x14ac:dyDescent="0.4">
      <c r="B70" t="str">
        <f>IF(A70="","",A70+MAX(B$2:B69))</f>
        <v/>
      </c>
      <c r="E70" s="42"/>
      <c r="F70" s="32"/>
      <c r="H70" s="50"/>
      <c r="J70" s="43"/>
    </row>
    <row r="71" spans="2:10" x14ac:dyDescent="0.4">
      <c r="B71" t="str">
        <f>IF(A71="","",A71+MAX(B$2:B70))</f>
        <v/>
      </c>
      <c r="E71" s="42"/>
      <c r="F71" s="32"/>
      <c r="H71" s="50"/>
      <c r="J71" s="43"/>
    </row>
    <row r="72" spans="2:10" x14ac:dyDescent="0.4">
      <c r="B72" t="str">
        <f>IF(A72="","",A72+MAX(B$2:B71))</f>
        <v/>
      </c>
      <c r="E72" s="42"/>
      <c r="F72" s="32"/>
      <c r="H72" s="50"/>
      <c r="J72" s="43"/>
    </row>
    <row r="73" spans="2:10" x14ac:dyDescent="0.4">
      <c r="B73" t="str">
        <f>IF(A73="","",A73+MAX(B$2:B72))</f>
        <v/>
      </c>
      <c r="E73" s="42"/>
      <c r="F73" s="32"/>
      <c r="H73" s="50"/>
      <c r="J73" s="43"/>
    </row>
    <row r="74" spans="2:10" x14ac:dyDescent="0.4">
      <c r="B74" t="str">
        <f>IF(A74="","",A74+MAX(B$2:B73))</f>
        <v/>
      </c>
      <c r="E74" s="42"/>
      <c r="F74" s="32"/>
      <c r="H74" s="50"/>
      <c r="J74" s="43"/>
    </row>
    <row r="75" spans="2:10" x14ac:dyDescent="0.4">
      <c r="B75" t="str">
        <f>IF(A75="","",A75+MAX(B$2:B74))</f>
        <v/>
      </c>
      <c r="E75" s="42"/>
      <c r="F75" s="32"/>
      <c r="H75" s="50"/>
      <c r="J75" s="43"/>
    </row>
    <row r="76" spans="2:10" x14ac:dyDescent="0.4">
      <c r="B76" t="str">
        <f>IF(A76="","",A76+MAX(B$2:B75))</f>
        <v/>
      </c>
      <c r="E76" s="42"/>
      <c r="F76" s="32"/>
      <c r="H76" s="50"/>
      <c r="J76" s="43"/>
    </row>
    <row r="77" spans="2:10" x14ac:dyDescent="0.4">
      <c r="B77" t="str">
        <f>IF(A77="","",A77+MAX(B$2:B76))</f>
        <v/>
      </c>
      <c r="E77" s="42"/>
      <c r="F77" s="32"/>
      <c r="H77" s="50"/>
      <c r="J77" s="43"/>
    </row>
    <row r="78" spans="2:10" x14ac:dyDescent="0.4">
      <c r="B78" t="str">
        <f>IF(A78="","",A78+MAX(B$2:B77))</f>
        <v/>
      </c>
      <c r="E78" s="42"/>
      <c r="F78" s="32"/>
      <c r="H78" s="50"/>
      <c r="J78" s="43"/>
    </row>
    <row r="79" spans="2:10" x14ac:dyDescent="0.4">
      <c r="B79" t="str">
        <f>IF(A79="","",A79+MAX(B$2:B78))</f>
        <v/>
      </c>
      <c r="E79" s="42"/>
      <c r="F79" s="32"/>
      <c r="H79" s="50"/>
      <c r="J79" s="43"/>
    </row>
    <row r="80" spans="2:10" x14ac:dyDescent="0.4">
      <c r="B80" t="str">
        <f>IF(A80="","",A80+MAX(B$2:B79))</f>
        <v/>
      </c>
      <c r="E80" s="42"/>
      <c r="F80" s="32"/>
      <c r="H80" s="50"/>
      <c r="J80" s="43"/>
    </row>
    <row r="81" spans="2:10" x14ac:dyDescent="0.4">
      <c r="B81" t="str">
        <f>IF(A81="","",A81+MAX(B$2:B80))</f>
        <v/>
      </c>
      <c r="E81" s="42"/>
      <c r="F81" s="32"/>
      <c r="H81" s="50"/>
      <c r="J81" s="43"/>
    </row>
    <row r="82" spans="2:10" x14ac:dyDescent="0.4">
      <c r="B82" t="str">
        <f>IF(A82="","",A82+MAX(B$2:B81))</f>
        <v/>
      </c>
      <c r="E82" s="42"/>
      <c r="F82" s="32"/>
      <c r="H82" s="50"/>
      <c r="J82" s="43"/>
    </row>
    <row r="83" spans="2:10" x14ac:dyDescent="0.4">
      <c r="B83" t="str">
        <f>IF(A83="","",A83+MAX(B$2:B82))</f>
        <v/>
      </c>
      <c r="E83" s="42"/>
      <c r="F83" s="32"/>
      <c r="H83" s="50"/>
      <c r="J83" s="43"/>
    </row>
    <row r="84" spans="2:10" x14ac:dyDescent="0.4">
      <c r="B84" t="str">
        <f>IF(A84="","",A84+MAX(B$2:B83))</f>
        <v/>
      </c>
      <c r="E84" s="42"/>
      <c r="F84" s="32"/>
      <c r="H84" s="50"/>
      <c r="J84" s="43"/>
    </row>
    <row r="85" spans="2:10" x14ac:dyDescent="0.4">
      <c r="B85" t="str">
        <f>IF(A85="","",A85+MAX(B$2:B84))</f>
        <v/>
      </c>
      <c r="E85" s="42"/>
      <c r="F85" s="32"/>
      <c r="H85" s="50"/>
      <c r="J85" s="43"/>
    </row>
    <row r="86" spans="2:10" x14ac:dyDescent="0.4">
      <c r="B86" t="str">
        <f>IF(A86="","",A86+MAX(B$2:B85))</f>
        <v/>
      </c>
      <c r="E86" s="42"/>
      <c r="F86" s="32"/>
      <c r="H86" s="50"/>
      <c r="J86" s="43"/>
    </row>
    <row r="87" spans="2:10" x14ac:dyDescent="0.4">
      <c r="B87" t="str">
        <f>IF(A87="","",A87+MAX(B$2:B86))</f>
        <v/>
      </c>
      <c r="E87" s="42"/>
      <c r="F87" s="32"/>
      <c r="H87" s="50"/>
      <c r="J87" s="43"/>
    </row>
    <row r="88" spans="2:10" x14ac:dyDescent="0.4">
      <c r="B88" t="str">
        <f>IF(A88="","",A88+MAX(B$2:B87))</f>
        <v/>
      </c>
      <c r="E88" s="42"/>
      <c r="F88" s="32"/>
      <c r="H88" s="50"/>
      <c r="J88" s="43"/>
    </row>
    <row r="89" spans="2:10" x14ac:dyDescent="0.4">
      <c r="B89" t="str">
        <f>IF(A89="","",A89+MAX(B$2:B88))</f>
        <v/>
      </c>
      <c r="E89" s="42"/>
      <c r="F89" s="32"/>
      <c r="H89" s="50"/>
      <c r="J89" s="43"/>
    </row>
    <row r="90" spans="2:10" x14ac:dyDescent="0.4">
      <c r="B90" t="str">
        <f>IF(A90="","",A90+MAX(B$2:B89))</f>
        <v/>
      </c>
      <c r="E90" s="42"/>
      <c r="F90" s="32"/>
      <c r="H90" s="50"/>
      <c r="J90" s="43"/>
    </row>
    <row r="91" spans="2:10" x14ac:dyDescent="0.4">
      <c r="B91" t="str">
        <f>IF(A91="","",A91+MAX(B$2:B90))</f>
        <v/>
      </c>
      <c r="E91" s="42"/>
      <c r="F91" s="32"/>
      <c r="H91" s="50"/>
      <c r="J91" s="43"/>
    </row>
    <row r="92" spans="2:10" x14ac:dyDescent="0.4">
      <c r="B92" t="str">
        <f>IF(A92="","",A92+MAX(B$2:B91))</f>
        <v/>
      </c>
      <c r="E92" s="42"/>
      <c r="F92" s="32"/>
      <c r="H92" s="50"/>
      <c r="J92" s="43"/>
    </row>
    <row r="93" spans="2:10" x14ac:dyDescent="0.4">
      <c r="B93" t="str">
        <f>IF(A93="","",A93+MAX(B$2:B92))</f>
        <v/>
      </c>
      <c r="E93" s="42"/>
      <c r="F93" s="32"/>
      <c r="H93" s="50"/>
      <c r="J93" s="43"/>
    </row>
    <row r="94" spans="2:10" x14ac:dyDescent="0.4">
      <c r="B94" t="str">
        <f>IF(A94="","",A94+MAX(B$2:B93))</f>
        <v/>
      </c>
      <c r="E94" s="42"/>
      <c r="F94" s="32"/>
      <c r="H94" s="50"/>
      <c r="J94" s="43"/>
    </row>
    <row r="95" spans="2:10" x14ac:dyDescent="0.4">
      <c r="B95" t="str">
        <f>IF(A95="","",A95+MAX(B$2:B94))</f>
        <v/>
      </c>
      <c r="E95" s="42"/>
      <c r="F95" s="32"/>
      <c r="H95" s="50"/>
      <c r="J95" s="43"/>
    </row>
    <row r="96" spans="2:10" x14ac:dyDescent="0.4">
      <c r="B96" t="str">
        <f>IF(A96="","",A96+MAX(B$2:B95))</f>
        <v/>
      </c>
      <c r="E96" s="42"/>
      <c r="F96" s="32"/>
      <c r="H96" s="50"/>
      <c r="J96" s="43"/>
    </row>
    <row r="97" spans="2:10" x14ac:dyDescent="0.4">
      <c r="B97" t="str">
        <f>IF(A97="","",A97+MAX(B$2:B96))</f>
        <v/>
      </c>
      <c r="E97" s="42"/>
      <c r="F97" s="32"/>
      <c r="H97" s="50"/>
      <c r="J97" s="43"/>
    </row>
    <row r="98" spans="2:10" x14ac:dyDescent="0.4">
      <c r="B98" t="str">
        <f>IF(A98="","",A98+MAX(B$2:B97))</f>
        <v/>
      </c>
      <c r="E98" s="42"/>
      <c r="F98" s="32"/>
      <c r="H98" s="50"/>
      <c r="J98" s="43"/>
    </row>
    <row r="99" spans="2:10" x14ac:dyDescent="0.4">
      <c r="B99" t="str">
        <f>IF(A99="","",A99+MAX(B$2:B98))</f>
        <v/>
      </c>
      <c r="E99" s="42"/>
      <c r="F99" s="32"/>
      <c r="H99" s="50"/>
      <c r="J99" s="43"/>
    </row>
    <row r="100" spans="2:10" x14ac:dyDescent="0.4">
      <c r="B100" t="str">
        <f>IF(A100="","",A100+MAX(B$2:B99))</f>
        <v/>
      </c>
      <c r="E100" s="42"/>
      <c r="F100" s="32"/>
      <c r="H100" s="50"/>
      <c r="J100" s="43"/>
    </row>
    <row r="101" spans="2:10" x14ac:dyDescent="0.4">
      <c r="B101" t="str">
        <f>IF(A101="","",A101+MAX(B$2:B100))</f>
        <v/>
      </c>
      <c r="E101" s="42"/>
      <c r="F101" s="32"/>
      <c r="H101" s="50"/>
      <c r="J101" s="43"/>
    </row>
    <row r="102" spans="2:10" x14ac:dyDescent="0.4">
      <c r="B102" t="str">
        <f>IF(A102="","",A102+MAX(B$2:B101))</f>
        <v/>
      </c>
      <c r="E102" s="42"/>
      <c r="F102" s="32"/>
      <c r="H102" s="50"/>
      <c r="J102" s="43"/>
    </row>
    <row r="103" spans="2:10" x14ac:dyDescent="0.4">
      <c r="B103" t="str">
        <f>IF(A103="","",A103+MAX(B$2:B102))</f>
        <v/>
      </c>
      <c r="E103" s="42"/>
      <c r="F103" s="32"/>
      <c r="H103" s="50"/>
      <c r="J103" s="43"/>
    </row>
    <row r="104" spans="2:10" x14ac:dyDescent="0.4">
      <c r="B104" t="str">
        <f>IF(A104="","",A104+MAX(B$2:B103))</f>
        <v/>
      </c>
      <c r="E104" s="42"/>
      <c r="F104" s="32"/>
      <c r="H104" s="50"/>
      <c r="J104" s="43"/>
    </row>
    <row r="105" spans="2:10" x14ac:dyDescent="0.4">
      <c r="B105" t="str">
        <f>IF(A105="","",A105+MAX(B$2:B104))</f>
        <v/>
      </c>
      <c r="E105" s="42"/>
      <c r="F105" s="32"/>
      <c r="H105" s="50"/>
      <c r="J105" s="43"/>
    </row>
    <row r="106" spans="2:10" x14ac:dyDescent="0.4">
      <c r="B106" t="str">
        <f>IF(A106="","",A106+MAX(B$2:B105))</f>
        <v/>
      </c>
      <c r="E106" s="42"/>
      <c r="F106" s="32"/>
      <c r="H106" s="50"/>
      <c r="J106" s="43"/>
    </row>
    <row r="107" spans="2:10" x14ac:dyDescent="0.4">
      <c r="B107" t="str">
        <f>IF(A107="","",A107+MAX(B$2:B106))</f>
        <v/>
      </c>
      <c r="E107" s="42"/>
      <c r="F107" s="32"/>
      <c r="H107" s="50"/>
      <c r="J107" s="43"/>
    </row>
    <row r="108" spans="2:10" x14ac:dyDescent="0.4">
      <c r="B108" t="str">
        <f>IF(A108="","",A108+MAX(B$2:B107))</f>
        <v/>
      </c>
      <c r="E108" s="42"/>
      <c r="F108" s="32"/>
      <c r="H108" s="50"/>
      <c r="J108" s="43"/>
    </row>
    <row r="109" spans="2:10" x14ac:dyDescent="0.4">
      <c r="B109" t="str">
        <f>IF(A109="","",A109+MAX(B$2:B108))</f>
        <v/>
      </c>
      <c r="E109" s="42"/>
      <c r="F109" s="32"/>
      <c r="H109" s="50"/>
      <c r="J109" s="43"/>
    </row>
    <row r="110" spans="2:10" x14ac:dyDescent="0.4">
      <c r="B110" t="str">
        <f>IF(A110="","",A110+MAX(B$2:B109))</f>
        <v/>
      </c>
      <c r="E110" s="42"/>
      <c r="F110" s="32"/>
      <c r="H110" s="50"/>
      <c r="J110" s="43"/>
    </row>
    <row r="111" spans="2:10" x14ac:dyDescent="0.4">
      <c r="B111" t="str">
        <f>IF(A111="","",A111+MAX(B$2:B110))</f>
        <v/>
      </c>
      <c r="E111" s="42"/>
      <c r="F111" s="32"/>
      <c r="H111" s="50"/>
      <c r="J111" s="43"/>
    </row>
    <row r="112" spans="2:10" x14ac:dyDescent="0.4">
      <c r="B112" t="str">
        <f>IF(A112="","",A112+MAX(B$2:B111))</f>
        <v/>
      </c>
      <c r="E112" s="42"/>
      <c r="F112" s="32"/>
      <c r="H112" s="50"/>
      <c r="J112" s="43"/>
    </row>
    <row r="113" spans="2:10" x14ac:dyDescent="0.4">
      <c r="B113" t="str">
        <f>IF(A113="","",A113+MAX(B$2:B112))</f>
        <v/>
      </c>
      <c r="E113" s="42"/>
      <c r="F113" s="32"/>
      <c r="H113" s="50"/>
      <c r="J113" s="43"/>
    </row>
    <row r="114" spans="2:10" x14ac:dyDescent="0.4">
      <c r="B114" t="str">
        <f>IF(A114="","",A114+MAX(B$2:B113))</f>
        <v/>
      </c>
      <c r="E114" s="42"/>
      <c r="F114" s="32"/>
      <c r="H114" s="50"/>
      <c r="J114" s="43"/>
    </row>
    <row r="115" spans="2:10" x14ac:dyDescent="0.4">
      <c r="B115" t="str">
        <f>IF(A115="","",A115+MAX(B$2:B114))</f>
        <v/>
      </c>
      <c r="E115" s="42"/>
      <c r="F115" s="32"/>
      <c r="H115" s="50"/>
      <c r="J115" s="43"/>
    </row>
    <row r="116" spans="2:10" x14ac:dyDescent="0.4">
      <c r="B116" t="str">
        <f>IF(A116="","",A116+MAX(B$2:B115))</f>
        <v/>
      </c>
      <c r="E116" s="42"/>
      <c r="F116" s="32"/>
      <c r="H116" s="50"/>
      <c r="J116" s="43"/>
    </row>
    <row r="117" spans="2:10" x14ac:dyDescent="0.4">
      <c r="B117" t="str">
        <f>IF(A117="","",A117+MAX(B$2:B116))</f>
        <v/>
      </c>
      <c r="E117" s="42"/>
      <c r="F117" s="32"/>
      <c r="H117" s="50"/>
      <c r="J117" s="43"/>
    </row>
    <row r="118" spans="2:10" x14ac:dyDescent="0.4">
      <c r="B118" t="str">
        <f>IF(A118="","",A118+MAX(B$2:B117))</f>
        <v/>
      </c>
      <c r="E118" s="42"/>
      <c r="F118" s="32"/>
      <c r="H118" s="50"/>
      <c r="J118" s="43"/>
    </row>
    <row r="119" spans="2:10" x14ac:dyDescent="0.4">
      <c r="B119" t="str">
        <f>IF(A119="","",A119+MAX(B$2:B118))</f>
        <v/>
      </c>
      <c r="E119" s="42"/>
      <c r="F119" s="32"/>
      <c r="H119" s="50"/>
      <c r="J119" s="43"/>
    </row>
    <row r="120" spans="2:10" x14ac:dyDescent="0.4">
      <c r="B120" t="str">
        <f>IF(A120="","",A120+MAX(B$2:B119))</f>
        <v/>
      </c>
      <c r="E120" s="42"/>
      <c r="F120" s="32"/>
      <c r="H120" s="50"/>
      <c r="J120" s="43"/>
    </row>
    <row r="121" spans="2:10" x14ac:dyDescent="0.4">
      <c r="B121" t="str">
        <f>IF(A121="","",A121+MAX(B$2:B120))</f>
        <v/>
      </c>
      <c r="E121" s="42"/>
      <c r="F121" s="32"/>
      <c r="H121" s="50"/>
      <c r="J121" s="43"/>
    </row>
    <row r="122" spans="2:10" x14ac:dyDescent="0.4">
      <c r="B122" t="str">
        <f>IF(A122="","",A122+MAX(B$2:B121))</f>
        <v/>
      </c>
      <c r="E122" s="42"/>
      <c r="F122" s="32"/>
      <c r="H122" s="50"/>
      <c r="J122" s="43"/>
    </row>
    <row r="123" spans="2:10" x14ac:dyDescent="0.4">
      <c r="B123" t="str">
        <f>IF(A123="","",A123+MAX(B$2:B122))</f>
        <v/>
      </c>
      <c r="E123" s="42"/>
      <c r="F123" s="32"/>
      <c r="H123" s="50"/>
      <c r="J123" s="43"/>
    </row>
    <row r="124" spans="2:10" x14ac:dyDescent="0.4">
      <c r="B124" t="str">
        <f>IF(A124="","",A124+MAX(B$2:B123))</f>
        <v/>
      </c>
      <c r="E124" s="42"/>
      <c r="F124" s="32"/>
      <c r="H124" s="50"/>
      <c r="J124" s="43"/>
    </row>
    <row r="125" spans="2:10" x14ac:dyDescent="0.4">
      <c r="B125" t="str">
        <f>IF(A125="","",A125+MAX(B$2:B124))</f>
        <v/>
      </c>
      <c r="E125" s="42"/>
      <c r="F125" s="32"/>
      <c r="H125" s="50"/>
      <c r="J125" s="43"/>
    </row>
    <row r="126" spans="2:10" x14ac:dyDescent="0.4">
      <c r="B126" t="str">
        <f>IF(A126="","",A126+MAX(B$2:B125))</f>
        <v/>
      </c>
      <c r="E126" s="42"/>
      <c r="F126" s="32"/>
      <c r="H126" s="50"/>
      <c r="J126" s="43"/>
    </row>
    <row r="127" spans="2:10" x14ac:dyDescent="0.4">
      <c r="B127" t="str">
        <f>IF(A127="","",A127+MAX(B$2:B126))</f>
        <v/>
      </c>
      <c r="E127" s="42"/>
      <c r="F127" s="32"/>
      <c r="H127" s="50"/>
      <c r="J127" s="43"/>
    </row>
    <row r="128" spans="2:10" x14ac:dyDescent="0.4">
      <c r="B128" t="str">
        <f>IF(A128="","",A128+MAX(B$2:B127))</f>
        <v/>
      </c>
      <c r="E128" s="42"/>
      <c r="F128" s="32"/>
      <c r="H128" s="50"/>
      <c r="J128" s="43"/>
    </row>
    <row r="129" spans="2:10" x14ac:dyDescent="0.4">
      <c r="B129" t="str">
        <f>IF(A129="","",A129+MAX(B$2:B128))</f>
        <v/>
      </c>
      <c r="E129" s="42"/>
      <c r="F129" s="32"/>
      <c r="H129" s="50"/>
      <c r="J129" s="43"/>
    </row>
    <row r="130" spans="2:10" x14ac:dyDescent="0.4">
      <c r="B130" t="str">
        <f>IF(A130="","",A130+MAX(B$2:B129))</f>
        <v/>
      </c>
      <c r="E130" s="42"/>
      <c r="F130" s="32"/>
      <c r="H130" s="50"/>
      <c r="J130" s="43"/>
    </row>
    <row r="131" spans="2:10" x14ac:dyDescent="0.4">
      <c r="B131" t="str">
        <f>IF(A131="","",A131+MAX(B$2:B130))</f>
        <v/>
      </c>
      <c r="E131" s="42"/>
      <c r="F131" s="32"/>
      <c r="H131" s="50"/>
      <c r="J131" s="43"/>
    </row>
    <row r="132" spans="2:10" x14ac:dyDescent="0.4">
      <c r="B132" t="str">
        <f>IF(A132="","",A132+MAX(B$2:B131))</f>
        <v/>
      </c>
      <c r="E132" s="42"/>
      <c r="F132" s="32"/>
      <c r="H132" s="50"/>
      <c r="J132" s="43"/>
    </row>
    <row r="133" spans="2:10" x14ac:dyDescent="0.4">
      <c r="B133" t="str">
        <f>IF(A133="","",A133+MAX(B$2:B132))</f>
        <v/>
      </c>
      <c r="E133" s="42"/>
      <c r="F133" s="32"/>
      <c r="H133" s="50"/>
      <c r="J133" s="43"/>
    </row>
    <row r="134" spans="2:10" x14ac:dyDescent="0.4">
      <c r="B134" t="str">
        <f>IF(A134="","",A134+MAX(B$2:B133))</f>
        <v/>
      </c>
      <c r="E134" s="42"/>
      <c r="F134" s="32"/>
      <c r="H134" s="50"/>
      <c r="J134" s="43"/>
    </row>
    <row r="135" spans="2:10" x14ac:dyDescent="0.4">
      <c r="B135" t="str">
        <f>IF(A135="","",A135+MAX(B$2:B134))</f>
        <v/>
      </c>
      <c r="E135" s="42"/>
      <c r="F135" s="32"/>
      <c r="H135" s="50"/>
      <c r="J135" s="43"/>
    </row>
    <row r="136" spans="2:10" x14ac:dyDescent="0.4">
      <c r="B136" t="str">
        <f>IF(A136="","",A136+MAX(B$2:B135))</f>
        <v/>
      </c>
      <c r="E136" s="42"/>
      <c r="F136" s="32"/>
      <c r="H136" s="50"/>
      <c r="J136" s="43"/>
    </row>
    <row r="137" spans="2:10" x14ac:dyDescent="0.4">
      <c r="B137" t="str">
        <f>IF(A137="","",A137+MAX(B$2:B136))</f>
        <v/>
      </c>
      <c r="E137" s="42"/>
      <c r="F137" s="32"/>
      <c r="H137" s="50"/>
      <c r="J137" s="43"/>
    </row>
    <row r="138" spans="2:10" x14ac:dyDescent="0.4">
      <c r="B138" t="str">
        <f>IF(A138="","",A138+MAX(B$2:B137))</f>
        <v/>
      </c>
      <c r="E138" s="42"/>
      <c r="F138" s="32"/>
      <c r="H138" s="50"/>
      <c r="J138" s="43"/>
    </row>
    <row r="139" spans="2:10" x14ac:dyDescent="0.4">
      <c r="B139" t="str">
        <f>IF(A139="","",A139+MAX(B$2:B138))</f>
        <v/>
      </c>
      <c r="E139" s="42"/>
      <c r="F139" s="32"/>
      <c r="H139" s="50"/>
      <c r="J139" s="43"/>
    </row>
    <row r="140" spans="2:10" x14ac:dyDescent="0.4">
      <c r="B140" t="str">
        <f>IF(A140="","",A140+MAX(B$2:B139))</f>
        <v/>
      </c>
      <c r="E140" s="42"/>
      <c r="F140" s="32"/>
      <c r="H140" s="50"/>
      <c r="J140" s="43"/>
    </row>
    <row r="141" spans="2:10" x14ac:dyDescent="0.4">
      <c r="B141" t="str">
        <f>IF(A141="","",A141+MAX(B$2:B140))</f>
        <v/>
      </c>
      <c r="E141" s="42"/>
      <c r="F141" s="32"/>
      <c r="H141" s="50"/>
      <c r="J141" s="43"/>
    </row>
    <row r="142" spans="2:10" x14ac:dyDescent="0.4">
      <c r="B142" t="str">
        <f>IF(A142="","",A142+MAX(B$2:B141))</f>
        <v/>
      </c>
      <c r="E142" s="42"/>
      <c r="F142" s="32"/>
      <c r="H142" s="50"/>
      <c r="J142" s="43"/>
    </row>
    <row r="143" spans="2:10" x14ac:dyDescent="0.4">
      <c r="B143" t="str">
        <f>IF(A143="","",A143+MAX(B$2:B142))</f>
        <v/>
      </c>
      <c r="E143" s="42"/>
      <c r="F143" s="32"/>
      <c r="H143" s="50"/>
      <c r="J143" s="43"/>
    </row>
    <row r="144" spans="2:10" x14ac:dyDescent="0.4">
      <c r="B144" t="str">
        <f>IF(A144="","",A144+MAX(B$2:B143))</f>
        <v/>
      </c>
      <c r="E144" s="42"/>
      <c r="F144" s="32"/>
      <c r="H144" s="50"/>
      <c r="J144" s="43"/>
    </row>
    <row r="145" spans="2:10" x14ac:dyDescent="0.4">
      <c r="B145" t="str">
        <f>IF(A145="","",A145+MAX(B$2:B144))</f>
        <v/>
      </c>
      <c r="E145" s="42"/>
      <c r="F145" s="32"/>
      <c r="H145" s="50"/>
      <c r="J145" s="43"/>
    </row>
    <row r="146" spans="2:10" x14ac:dyDescent="0.4">
      <c r="B146" t="str">
        <f>IF(A146="","",A146+MAX(B$2:B145))</f>
        <v/>
      </c>
      <c r="E146" s="42"/>
      <c r="F146" s="32"/>
      <c r="H146" s="50"/>
      <c r="J146" s="43"/>
    </row>
    <row r="147" spans="2:10" x14ac:dyDescent="0.4">
      <c r="B147" t="str">
        <f>IF(A147="","",A147+MAX(B$2:B146))</f>
        <v/>
      </c>
      <c r="E147" s="42"/>
      <c r="F147" s="32"/>
      <c r="H147" s="50"/>
      <c r="J147" s="43"/>
    </row>
    <row r="148" spans="2:10" x14ac:dyDescent="0.4">
      <c r="B148" t="str">
        <f>IF(A148="","",A148+MAX(B$2:B147))</f>
        <v/>
      </c>
      <c r="E148" s="42"/>
      <c r="F148" s="32"/>
      <c r="H148" s="50"/>
      <c r="J148" s="43"/>
    </row>
    <row r="149" spans="2:10" x14ac:dyDescent="0.4">
      <c r="B149" t="str">
        <f>IF(A149="","",A149+MAX(B$2:B148))</f>
        <v/>
      </c>
      <c r="E149" s="42"/>
      <c r="F149" s="32"/>
      <c r="H149" s="50"/>
      <c r="J149" s="43"/>
    </row>
    <row r="150" spans="2:10" x14ac:dyDescent="0.4">
      <c r="B150" t="str">
        <f>IF(A150="","",A150+MAX(B$2:B149))</f>
        <v/>
      </c>
      <c r="E150" s="42"/>
      <c r="F150" s="32"/>
      <c r="H150" s="50"/>
      <c r="J150" s="43"/>
    </row>
    <row r="151" spans="2:10" x14ac:dyDescent="0.4">
      <c r="B151" t="str">
        <f>IF(A151="","",A151+MAX(B$2:B150))</f>
        <v/>
      </c>
      <c r="E151" s="42"/>
      <c r="F151" s="32"/>
      <c r="H151" s="50"/>
      <c r="J151" s="43"/>
    </row>
    <row r="152" spans="2:10" x14ac:dyDescent="0.4">
      <c r="B152" t="str">
        <f>IF(A152="","",A152+MAX(B$2:B151))</f>
        <v/>
      </c>
      <c r="E152" s="42"/>
      <c r="F152" s="32"/>
      <c r="H152" s="50"/>
      <c r="J152" s="43"/>
    </row>
    <row r="153" spans="2:10" x14ac:dyDescent="0.4">
      <c r="B153" t="str">
        <f>IF(A153="","",A153+MAX(B$2:B152))</f>
        <v/>
      </c>
      <c r="E153" s="42"/>
      <c r="F153" s="32"/>
      <c r="H153" s="50"/>
      <c r="J153" s="43"/>
    </row>
    <row r="154" spans="2:10" x14ac:dyDescent="0.4">
      <c r="B154" t="str">
        <f>IF(A154="","",A154+MAX(B$2:B153))</f>
        <v/>
      </c>
      <c r="E154" s="42"/>
      <c r="F154" s="32"/>
      <c r="H154" s="50"/>
      <c r="J154" s="43"/>
    </row>
    <row r="155" spans="2:10" x14ac:dyDescent="0.4">
      <c r="B155" t="str">
        <f>IF(A155="","",A155+MAX(B$2:B154))</f>
        <v/>
      </c>
      <c r="E155" s="42"/>
      <c r="F155" s="32"/>
      <c r="H155" s="50"/>
      <c r="J155" s="43"/>
    </row>
    <row r="156" spans="2:10" x14ac:dyDescent="0.4">
      <c r="B156" t="str">
        <f>IF(A156="","",A156+MAX(B$2:B155))</f>
        <v/>
      </c>
      <c r="E156" s="42"/>
      <c r="F156" s="32"/>
      <c r="H156" s="50"/>
      <c r="J156" s="43"/>
    </row>
    <row r="157" spans="2:10" x14ac:dyDescent="0.4">
      <c r="B157" t="str">
        <f>IF(A157="","",A157+MAX(B$2:B156))</f>
        <v/>
      </c>
      <c r="E157" s="42"/>
      <c r="F157" s="32"/>
      <c r="H157" s="50"/>
      <c r="J157" s="43"/>
    </row>
    <row r="158" spans="2:10" x14ac:dyDescent="0.4">
      <c r="B158" t="str">
        <f>IF(A158="","",A158+MAX(B$2:B157))</f>
        <v/>
      </c>
      <c r="E158" s="42"/>
      <c r="F158" s="32"/>
      <c r="H158" s="50"/>
      <c r="J158" s="43"/>
    </row>
    <row r="159" spans="2:10" x14ac:dyDescent="0.4">
      <c r="B159" t="str">
        <f>IF(A159="","",A159+MAX(B$2:B158))</f>
        <v/>
      </c>
      <c r="E159" s="42"/>
      <c r="F159" s="32"/>
      <c r="H159" s="50"/>
      <c r="J159" s="43"/>
    </row>
    <row r="160" spans="2:10" x14ac:dyDescent="0.4">
      <c r="B160" t="str">
        <f>IF(A160="","",A160+MAX(B$2:B159))</f>
        <v/>
      </c>
      <c r="E160" s="42"/>
      <c r="F160" s="32"/>
      <c r="H160" s="50"/>
      <c r="J160" s="43"/>
    </row>
    <row r="161" spans="2:10" x14ac:dyDescent="0.4">
      <c r="B161" t="str">
        <f>IF(A161="","",A161+MAX(B$2:B160))</f>
        <v/>
      </c>
      <c r="E161" s="42"/>
      <c r="F161" s="32"/>
      <c r="H161" s="50"/>
      <c r="J161" s="43"/>
    </row>
    <row r="162" spans="2:10" x14ac:dyDescent="0.4">
      <c r="B162" t="str">
        <f>IF(A162="","",A162+MAX(B$2:B161))</f>
        <v/>
      </c>
      <c r="E162" s="42"/>
      <c r="F162" s="32"/>
      <c r="H162" s="50"/>
      <c r="J162" s="43"/>
    </row>
    <row r="163" spans="2:10" x14ac:dyDescent="0.4">
      <c r="B163" t="str">
        <f>IF(A163="","",A163+MAX(B$2:B162))</f>
        <v/>
      </c>
      <c r="E163" s="42"/>
      <c r="F163" s="32"/>
      <c r="H163" s="50"/>
      <c r="J163" s="43"/>
    </row>
    <row r="164" spans="2:10" x14ac:dyDescent="0.4">
      <c r="B164" t="str">
        <f>IF(A164="","",A164+MAX(B$2:B163))</f>
        <v/>
      </c>
      <c r="E164" s="42"/>
      <c r="F164" s="32"/>
      <c r="H164" s="50"/>
      <c r="J164" s="43"/>
    </row>
    <row r="165" spans="2:10" x14ac:dyDescent="0.4">
      <c r="B165" t="str">
        <f>IF(A165="","",A165+MAX(B$2:B164))</f>
        <v/>
      </c>
      <c r="E165" s="42"/>
      <c r="F165" s="32"/>
      <c r="H165" s="50"/>
      <c r="J165" s="43"/>
    </row>
    <row r="166" spans="2:10" x14ac:dyDescent="0.4">
      <c r="B166" t="str">
        <f>IF(A166="","",A166+MAX(B$2:B165))</f>
        <v/>
      </c>
      <c r="E166" s="42"/>
      <c r="F166" s="32"/>
      <c r="H166" s="50"/>
      <c r="J166" s="43"/>
    </row>
    <row r="167" spans="2:10" x14ac:dyDescent="0.4">
      <c r="B167" t="str">
        <f>IF(A167="","",A167+MAX(B$2:B166))</f>
        <v/>
      </c>
      <c r="E167" s="42"/>
      <c r="F167" s="32"/>
      <c r="H167" s="50"/>
      <c r="J167" s="43"/>
    </row>
    <row r="168" spans="2:10" x14ac:dyDescent="0.4">
      <c r="B168" t="str">
        <f>IF(A168="","",A168+MAX(B$2:B167))</f>
        <v/>
      </c>
      <c r="E168" s="42"/>
      <c r="F168" s="32"/>
      <c r="H168" s="50"/>
      <c r="J168" s="43"/>
    </row>
    <row r="169" spans="2:10" x14ac:dyDescent="0.4">
      <c r="B169" t="str">
        <f>IF(A169="","",A169+MAX(B$2:B168))</f>
        <v/>
      </c>
      <c r="E169" s="42"/>
      <c r="F169" s="32"/>
      <c r="H169" s="50"/>
      <c r="J169" s="43"/>
    </row>
    <row r="170" spans="2:10" x14ac:dyDescent="0.4">
      <c r="B170" t="str">
        <f>IF(A170="","",A170+MAX(B$2:B169))</f>
        <v/>
      </c>
      <c r="E170" s="42"/>
      <c r="F170" s="32"/>
      <c r="H170" s="50"/>
      <c r="J170" s="43"/>
    </row>
    <row r="171" spans="2:10" x14ac:dyDescent="0.4">
      <c r="B171" t="str">
        <f>IF(A171="","",A171+MAX(B$2:B170))</f>
        <v/>
      </c>
      <c r="E171" s="42"/>
      <c r="F171" s="32"/>
      <c r="H171" s="50"/>
      <c r="J171" s="43"/>
    </row>
    <row r="172" spans="2:10" x14ac:dyDescent="0.4">
      <c r="B172" t="str">
        <f>IF(A172="","",A172+MAX(B$2:B171))</f>
        <v/>
      </c>
      <c r="E172" s="42"/>
      <c r="F172" s="32"/>
      <c r="H172" s="50"/>
      <c r="J172" s="43"/>
    </row>
    <row r="173" spans="2:10" x14ac:dyDescent="0.4">
      <c r="B173" t="str">
        <f>IF(A173="","",A173+MAX(B$2:B172))</f>
        <v/>
      </c>
      <c r="E173" s="42"/>
      <c r="F173" s="32"/>
      <c r="H173" s="50"/>
      <c r="J173" s="43"/>
    </row>
    <row r="174" spans="2:10" x14ac:dyDescent="0.4">
      <c r="B174" t="str">
        <f>IF(A174="","",A174+MAX(B$2:B173))</f>
        <v/>
      </c>
      <c r="E174" s="42"/>
      <c r="F174" s="32"/>
      <c r="H174" s="50"/>
      <c r="J174" s="43"/>
    </row>
    <row r="175" spans="2:10" x14ac:dyDescent="0.4">
      <c r="B175" t="str">
        <f>IF(A175="","",A175+MAX(B$2:B174))</f>
        <v/>
      </c>
      <c r="E175" s="42"/>
      <c r="F175" s="32"/>
      <c r="H175" s="50"/>
      <c r="J175" s="43"/>
    </row>
    <row r="176" spans="2:10" x14ac:dyDescent="0.4">
      <c r="B176" t="str">
        <f>IF(A176="","",A176+MAX(B$2:B175))</f>
        <v/>
      </c>
      <c r="E176" s="42"/>
      <c r="F176" s="32"/>
      <c r="H176" s="50"/>
      <c r="J176" s="43"/>
    </row>
    <row r="177" spans="2:10" x14ac:dyDescent="0.4">
      <c r="B177" t="str">
        <f>IF(A177="","",A177+MAX(B$2:B176))</f>
        <v/>
      </c>
      <c r="E177" s="42"/>
      <c r="F177" s="32"/>
      <c r="H177" s="50"/>
      <c r="J177" s="43"/>
    </row>
    <row r="178" spans="2:10" x14ac:dyDescent="0.4">
      <c r="B178" t="str">
        <f>IF(A178="","",A178+MAX(B$2:B177))</f>
        <v/>
      </c>
      <c r="E178" s="42"/>
      <c r="F178" s="32"/>
      <c r="H178" s="50"/>
      <c r="J178" s="43"/>
    </row>
    <row r="179" spans="2:10" x14ac:dyDescent="0.4">
      <c r="B179" t="str">
        <f>IF(A179="","",A179+MAX(B$2:B178))</f>
        <v/>
      </c>
      <c r="E179" s="42"/>
      <c r="F179" s="32"/>
      <c r="H179" s="50"/>
      <c r="J179" s="43"/>
    </row>
    <row r="180" spans="2:10" x14ac:dyDescent="0.4">
      <c r="B180" t="str">
        <f>IF(A180="","",A180+MAX(B$2:B179))</f>
        <v/>
      </c>
      <c r="E180" s="42"/>
      <c r="F180" s="32"/>
      <c r="H180" s="50"/>
      <c r="J180" s="43"/>
    </row>
    <row r="181" spans="2:10" x14ac:dyDescent="0.4">
      <c r="B181" t="str">
        <f>IF(A181="","",A181+MAX(B$2:B180))</f>
        <v/>
      </c>
      <c r="E181" s="42"/>
      <c r="F181" s="32"/>
      <c r="H181" s="50"/>
      <c r="J181" s="43"/>
    </row>
    <row r="182" spans="2:10" x14ac:dyDescent="0.4">
      <c r="B182" t="str">
        <f>IF(A182="","",A182+MAX(B$2:B181))</f>
        <v/>
      </c>
      <c r="E182" s="42"/>
      <c r="F182" s="32"/>
      <c r="H182" s="50"/>
      <c r="J182" s="43"/>
    </row>
    <row r="183" spans="2:10" x14ac:dyDescent="0.4">
      <c r="B183" t="str">
        <f>IF(A183="","",A183+MAX(B$2:B182))</f>
        <v/>
      </c>
      <c r="E183" s="42"/>
      <c r="F183" s="32"/>
      <c r="H183" s="50"/>
      <c r="J183" s="43"/>
    </row>
    <row r="184" spans="2:10" x14ac:dyDescent="0.4">
      <c r="B184" t="str">
        <f>IF(A184="","",A184+MAX(B$2:B183))</f>
        <v/>
      </c>
      <c r="E184" s="42"/>
      <c r="F184" s="32"/>
      <c r="H184" s="50"/>
      <c r="J184" s="43"/>
    </row>
    <row r="185" spans="2:10" x14ac:dyDescent="0.4">
      <c r="B185" t="str">
        <f>IF(A185="","",A185+MAX(B$2:B184))</f>
        <v/>
      </c>
      <c r="E185" s="42"/>
      <c r="F185" s="32"/>
      <c r="H185" s="50"/>
      <c r="J185" s="43"/>
    </row>
    <row r="186" spans="2:10" x14ac:dyDescent="0.4">
      <c r="B186" t="str">
        <f>IF(A186="","",A186+MAX(B$2:B185))</f>
        <v/>
      </c>
      <c r="E186" s="42"/>
      <c r="F186" s="32"/>
      <c r="H186" s="50"/>
      <c r="J186" s="43"/>
    </row>
    <row r="187" spans="2:10" x14ac:dyDescent="0.4">
      <c r="B187" t="str">
        <f>IF(A187="","",A187+MAX(B$2:B186))</f>
        <v/>
      </c>
      <c r="E187" s="42"/>
      <c r="F187" s="32"/>
      <c r="H187" s="50"/>
      <c r="J187" s="43"/>
    </row>
    <row r="188" spans="2:10" x14ac:dyDescent="0.4">
      <c r="B188" t="str">
        <f>IF(A188="","",A188+MAX(B$2:B187))</f>
        <v/>
      </c>
      <c r="E188" s="42"/>
      <c r="F188" s="32"/>
      <c r="H188" s="50"/>
      <c r="J188" s="43"/>
    </row>
    <row r="189" spans="2:10" x14ac:dyDescent="0.4">
      <c r="B189" t="str">
        <f>IF(A189="","",A189+MAX(B$2:B188))</f>
        <v/>
      </c>
      <c r="E189" s="42"/>
      <c r="F189" s="32"/>
      <c r="H189" s="50"/>
      <c r="J189" s="43"/>
    </row>
    <row r="190" spans="2:10" x14ac:dyDescent="0.4">
      <c r="B190" t="str">
        <f>IF(A190="","",A190+MAX(B$2:B189))</f>
        <v/>
      </c>
      <c r="E190" s="42"/>
      <c r="F190" s="32"/>
      <c r="H190" s="50"/>
      <c r="J190" s="43"/>
    </row>
    <row r="191" spans="2:10" x14ac:dyDescent="0.4">
      <c r="B191" t="str">
        <f>IF(A191="","",A191+MAX(B$2:B190))</f>
        <v/>
      </c>
      <c r="E191" s="42"/>
      <c r="F191" s="32"/>
      <c r="H191" s="50"/>
      <c r="J191" s="43"/>
    </row>
    <row r="192" spans="2:10" x14ac:dyDescent="0.4">
      <c r="B192" t="str">
        <f>IF(A192="","",A192+MAX(B$2:B191))</f>
        <v/>
      </c>
      <c r="E192" s="42"/>
      <c r="F192" s="32"/>
      <c r="H192" s="50"/>
      <c r="J192" s="43"/>
    </row>
    <row r="193" spans="2:10" x14ac:dyDescent="0.4">
      <c r="B193" t="str">
        <f>IF(A193="","",A193+MAX(B$2:B192))</f>
        <v/>
      </c>
      <c r="E193" s="42"/>
      <c r="F193" s="32"/>
      <c r="H193" s="50"/>
      <c r="J193" s="43"/>
    </row>
    <row r="194" spans="2:10" x14ac:dyDescent="0.4">
      <c r="B194" t="str">
        <f>IF(A194="","",A194+MAX(B$2:B193))</f>
        <v/>
      </c>
      <c r="E194" s="42"/>
      <c r="F194" s="32"/>
      <c r="H194" s="50"/>
      <c r="J194" s="43"/>
    </row>
    <row r="195" spans="2:10" x14ac:dyDescent="0.4">
      <c r="B195" t="str">
        <f>IF(A195="","",A195+MAX(B$2:B194))</f>
        <v/>
      </c>
      <c r="E195" s="42"/>
      <c r="F195" s="32"/>
      <c r="H195" s="50"/>
      <c r="J195" s="43"/>
    </row>
    <row r="196" spans="2:10" x14ac:dyDescent="0.4">
      <c r="B196" t="str">
        <f>IF(A196="","",A196+MAX(B$2:B195))</f>
        <v/>
      </c>
      <c r="E196" s="42"/>
      <c r="F196" s="32"/>
      <c r="H196" s="50"/>
      <c r="J196" s="43"/>
    </row>
    <row r="197" spans="2:10" x14ac:dyDescent="0.4">
      <c r="B197" t="str">
        <f>IF(A197="","",A197+MAX(B$2:B196))</f>
        <v/>
      </c>
      <c r="E197" s="42"/>
      <c r="F197" s="32"/>
      <c r="H197" s="50"/>
      <c r="J197" s="43"/>
    </row>
    <row r="198" spans="2:10" x14ac:dyDescent="0.4">
      <c r="B198" t="str">
        <f>IF(A198="","",A198+MAX(B$2:B197))</f>
        <v/>
      </c>
      <c r="E198" s="42"/>
      <c r="F198" s="32"/>
      <c r="H198" s="50"/>
      <c r="J198" s="43"/>
    </row>
    <row r="199" spans="2:10" x14ac:dyDescent="0.4">
      <c r="B199" t="str">
        <f>IF(A199="","",A199+MAX(B$2:B198))</f>
        <v/>
      </c>
      <c r="E199" s="42"/>
      <c r="F199" s="32"/>
      <c r="H199" s="50"/>
      <c r="J199" s="43"/>
    </row>
    <row r="200" spans="2:10" x14ac:dyDescent="0.4">
      <c r="B200" t="str">
        <f>IF(A200="","",A200+MAX(B$2:B199))</f>
        <v/>
      </c>
      <c r="E200" s="42"/>
      <c r="F200" s="32"/>
      <c r="H200" s="50"/>
      <c r="J200" s="43"/>
    </row>
    <row r="201" spans="2:10" x14ac:dyDescent="0.4">
      <c r="B201" t="str">
        <f>IF(A201="","",A201+MAX(B$2:B200))</f>
        <v/>
      </c>
      <c r="E201" s="42"/>
      <c r="F201" s="32"/>
      <c r="H201" s="50"/>
      <c r="J201" s="43"/>
    </row>
    <row r="202" spans="2:10" x14ac:dyDescent="0.4">
      <c r="B202" t="str">
        <f>IF(A202="","",A202+MAX(B$2:B201))</f>
        <v/>
      </c>
      <c r="E202" s="42"/>
      <c r="F202" s="32"/>
      <c r="H202" s="50"/>
      <c r="J202" s="43"/>
    </row>
    <row r="203" spans="2:10" x14ac:dyDescent="0.4">
      <c r="B203" t="str">
        <f>IF(A203="","",A203+MAX(B$2:B202))</f>
        <v/>
      </c>
      <c r="E203" s="42"/>
      <c r="F203" s="32"/>
      <c r="H203" s="50"/>
      <c r="J203" s="43"/>
    </row>
    <row r="204" spans="2:10" x14ac:dyDescent="0.4">
      <c r="B204" t="str">
        <f>IF(A204="","",A204+MAX(B$2:B203))</f>
        <v/>
      </c>
      <c r="E204" s="42"/>
      <c r="F204" s="32"/>
      <c r="H204" s="50"/>
      <c r="J204" s="43"/>
    </row>
    <row r="205" spans="2:10" x14ac:dyDescent="0.4">
      <c r="B205" t="str">
        <f>IF(A205="","",A205+MAX(B$2:B204))</f>
        <v/>
      </c>
      <c r="E205" s="42"/>
      <c r="F205" s="32"/>
      <c r="H205" s="50"/>
      <c r="J205" s="43"/>
    </row>
    <row r="206" spans="2:10" x14ac:dyDescent="0.4">
      <c r="B206" t="str">
        <f>IF(A206="","",A206+MAX(B$2:B205))</f>
        <v/>
      </c>
      <c r="E206" s="42"/>
      <c r="F206" s="32"/>
      <c r="H206" s="50"/>
      <c r="J206" s="43"/>
    </row>
    <row r="207" spans="2:10" x14ac:dyDescent="0.4">
      <c r="B207" t="str">
        <f>IF(A207="","",A207+MAX(B$2:B206))</f>
        <v/>
      </c>
      <c r="E207" s="42"/>
      <c r="F207" s="32"/>
      <c r="H207" s="50"/>
      <c r="J207" s="43"/>
    </row>
    <row r="208" spans="2:10" x14ac:dyDescent="0.4">
      <c r="B208" t="str">
        <f>IF(A208="","",A208+MAX(B$2:B207))</f>
        <v/>
      </c>
      <c r="E208" s="42"/>
      <c r="F208" s="32"/>
      <c r="H208" s="50"/>
      <c r="J208" s="43"/>
    </row>
    <row r="209" spans="2:10" x14ac:dyDescent="0.4">
      <c r="B209" t="str">
        <f>IF(A209="","",A209+MAX(B$2:B208))</f>
        <v/>
      </c>
      <c r="E209" s="42"/>
      <c r="F209" s="32"/>
      <c r="H209" s="50"/>
      <c r="J209" s="43"/>
    </row>
    <row r="210" spans="2:10" x14ac:dyDescent="0.4">
      <c r="B210" t="str">
        <f>IF(A210="","",A210+MAX(B$2:B209))</f>
        <v/>
      </c>
      <c r="E210" s="42"/>
      <c r="F210" s="32"/>
      <c r="H210" s="50"/>
      <c r="J210" s="43"/>
    </row>
    <row r="211" spans="2:10" x14ac:dyDescent="0.4">
      <c r="B211" t="str">
        <f>IF(A211="","",A211+MAX(B$2:B210))</f>
        <v/>
      </c>
      <c r="E211" s="42"/>
      <c r="F211" s="32"/>
      <c r="H211" s="50"/>
      <c r="J211" s="43"/>
    </row>
    <row r="212" spans="2:10" x14ac:dyDescent="0.4">
      <c r="B212" t="str">
        <f>IF(A212="","",A212+MAX(B$2:B211))</f>
        <v/>
      </c>
      <c r="E212" s="42"/>
      <c r="F212" s="32"/>
      <c r="H212" s="50"/>
      <c r="J212" s="43"/>
    </row>
    <row r="213" spans="2:10" x14ac:dyDescent="0.4">
      <c r="B213" t="str">
        <f>IF(A213="","",A213+MAX(B$2:B212))</f>
        <v/>
      </c>
      <c r="E213" s="42"/>
      <c r="F213" s="32"/>
      <c r="H213" s="50"/>
      <c r="J213" s="43"/>
    </row>
    <row r="214" spans="2:10" x14ac:dyDescent="0.4">
      <c r="B214" t="str">
        <f>IF(A214="","",A214+MAX(B$2:B213))</f>
        <v/>
      </c>
      <c r="E214" s="42"/>
      <c r="F214" s="32"/>
      <c r="H214" s="50"/>
      <c r="J214" s="43"/>
    </row>
    <row r="215" spans="2:10" x14ac:dyDescent="0.4">
      <c r="B215" t="str">
        <f>IF(A215="","",A215+MAX(B$2:B214))</f>
        <v/>
      </c>
      <c r="E215" s="42"/>
      <c r="F215" s="32"/>
      <c r="H215" s="50"/>
      <c r="J215" s="43"/>
    </row>
    <row r="216" spans="2:10" x14ac:dyDescent="0.4">
      <c r="B216" t="str">
        <f>IF(A216="","",A216+MAX(B$2:B215))</f>
        <v/>
      </c>
      <c r="E216" s="42"/>
      <c r="F216" s="32"/>
      <c r="H216" s="50"/>
      <c r="J216" s="43"/>
    </row>
    <row r="217" spans="2:10" x14ac:dyDescent="0.4">
      <c r="B217" t="str">
        <f>IF(A217="","",A217+MAX(B$2:B216))</f>
        <v/>
      </c>
      <c r="E217" s="42"/>
      <c r="F217" s="32"/>
      <c r="H217" s="50"/>
      <c r="J217" s="43"/>
    </row>
    <row r="218" spans="2:10" x14ac:dyDescent="0.4">
      <c r="B218" t="str">
        <f>IF(A218="","",A218+MAX(B$2:B217))</f>
        <v/>
      </c>
      <c r="E218" s="42"/>
      <c r="F218" s="32"/>
      <c r="H218" s="50"/>
      <c r="J218" s="43"/>
    </row>
    <row r="219" spans="2:10" x14ac:dyDescent="0.4">
      <c r="B219" t="str">
        <f>IF(A219="","",A219+MAX(B$2:B218))</f>
        <v/>
      </c>
      <c r="E219" s="42"/>
      <c r="F219" s="32"/>
      <c r="H219" s="50"/>
      <c r="J219" s="43"/>
    </row>
    <row r="220" spans="2:10" x14ac:dyDescent="0.4">
      <c r="B220" t="str">
        <f>IF(A220="","",A220+MAX(B$2:B219))</f>
        <v/>
      </c>
      <c r="E220" s="42"/>
      <c r="F220" s="32"/>
      <c r="H220" s="50"/>
      <c r="J220" s="43"/>
    </row>
    <row r="221" spans="2:10" x14ac:dyDescent="0.4">
      <c r="B221" t="str">
        <f>IF(A221="","",A221+MAX(B$2:B220))</f>
        <v/>
      </c>
      <c r="E221" s="42"/>
      <c r="F221" s="32"/>
      <c r="H221" s="50"/>
      <c r="J221" s="43"/>
    </row>
    <row r="222" spans="2:10" x14ac:dyDescent="0.4">
      <c r="B222" t="str">
        <f>IF(A222="","",A222+MAX(B$2:B221))</f>
        <v/>
      </c>
      <c r="E222" s="42"/>
      <c r="F222" s="32"/>
      <c r="H222" s="50"/>
      <c r="J222" s="43"/>
    </row>
    <row r="223" spans="2:10" x14ac:dyDescent="0.4">
      <c r="B223" t="str">
        <f>IF(A223="","",A223+MAX(B$2:B222))</f>
        <v/>
      </c>
      <c r="E223" s="42"/>
      <c r="F223" s="32"/>
      <c r="H223" s="50"/>
      <c r="J223" s="43"/>
    </row>
    <row r="224" spans="2:10" x14ac:dyDescent="0.4">
      <c r="B224" t="str">
        <f>IF(A224="","",A224+MAX(B$2:B223))</f>
        <v/>
      </c>
      <c r="E224" s="42"/>
      <c r="F224" s="32"/>
      <c r="H224" s="50"/>
      <c r="J224" s="43"/>
    </row>
    <row r="225" spans="2:10" x14ac:dyDescent="0.4">
      <c r="B225" t="str">
        <f>IF(A225="","",A225+MAX(B$2:B224))</f>
        <v/>
      </c>
      <c r="E225" s="42"/>
      <c r="F225" s="32"/>
      <c r="H225" s="50"/>
      <c r="J225" s="43"/>
    </row>
    <row r="226" spans="2:10" x14ac:dyDescent="0.4">
      <c r="B226" t="str">
        <f>IF(A226="","",A226+MAX(B$2:B225))</f>
        <v/>
      </c>
      <c r="E226" s="42"/>
      <c r="F226" s="32"/>
      <c r="H226" s="50"/>
      <c r="J226" s="43"/>
    </row>
    <row r="227" spans="2:10" x14ac:dyDescent="0.4">
      <c r="B227" t="str">
        <f>IF(A227="","",A227+MAX(B$2:B226))</f>
        <v/>
      </c>
      <c r="E227" s="42"/>
      <c r="F227" s="32"/>
      <c r="H227" s="50"/>
      <c r="J227" s="43"/>
    </row>
    <row r="228" spans="2:10" x14ac:dyDescent="0.4">
      <c r="B228" t="str">
        <f>IF(A228="","",A228+MAX(B$2:B227))</f>
        <v/>
      </c>
      <c r="E228" s="42"/>
      <c r="F228" s="32"/>
      <c r="H228" s="50"/>
      <c r="J228" s="43"/>
    </row>
    <row r="229" spans="2:10" x14ac:dyDescent="0.4">
      <c r="B229" t="str">
        <f>IF(A229="","",A229+MAX(B$2:B228))</f>
        <v/>
      </c>
      <c r="E229" s="42"/>
      <c r="F229" s="32"/>
      <c r="H229" s="50"/>
      <c r="J229" s="43"/>
    </row>
    <row r="230" spans="2:10" x14ac:dyDescent="0.4">
      <c r="B230" t="str">
        <f>IF(A230="","",A230+MAX(B$2:B229))</f>
        <v/>
      </c>
      <c r="E230" s="42"/>
      <c r="F230" s="32"/>
      <c r="H230" s="50"/>
      <c r="J230" s="43"/>
    </row>
    <row r="231" spans="2:10" x14ac:dyDescent="0.4">
      <c r="B231" t="str">
        <f>IF(A231="","",A231+MAX(B$2:B230))</f>
        <v/>
      </c>
      <c r="E231" s="42"/>
      <c r="F231" s="32"/>
      <c r="H231" s="50"/>
      <c r="J231" s="43"/>
    </row>
    <row r="232" spans="2:10" x14ac:dyDescent="0.4">
      <c r="B232" t="str">
        <f>IF(A232="","",A232+MAX(B$2:B231))</f>
        <v/>
      </c>
      <c r="E232" s="42"/>
      <c r="F232" s="32"/>
      <c r="H232" s="50"/>
      <c r="J232" s="43"/>
    </row>
    <row r="233" spans="2:10" x14ac:dyDescent="0.4">
      <c r="B233" t="str">
        <f>IF(A233="","",A233+MAX(B$2:B232))</f>
        <v/>
      </c>
      <c r="E233" s="42"/>
      <c r="F233" s="32"/>
      <c r="H233" s="50"/>
      <c r="J233" s="43"/>
    </row>
    <row r="234" spans="2:10" x14ac:dyDescent="0.4">
      <c r="B234" t="str">
        <f>IF(A234="","",A234+MAX(B$2:B233))</f>
        <v/>
      </c>
      <c r="E234" s="42"/>
      <c r="F234" s="32"/>
      <c r="H234" s="50"/>
      <c r="J234" s="43"/>
    </row>
    <row r="235" spans="2:10" x14ac:dyDescent="0.4">
      <c r="B235" t="str">
        <f>IF(A235="","",A235+MAX(B$2:B234))</f>
        <v/>
      </c>
      <c r="E235" s="42"/>
      <c r="F235" s="32"/>
      <c r="H235" s="50"/>
      <c r="J235" s="43"/>
    </row>
    <row r="236" spans="2:10" x14ac:dyDescent="0.4">
      <c r="B236" t="str">
        <f>IF(A236="","",A236+MAX(B$2:B235))</f>
        <v/>
      </c>
      <c r="E236" s="42"/>
      <c r="F236" s="32"/>
      <c r="H236" s="50"/>
      <c r="J236" s="43"/>
    </row>
    <row r="237" spans="2:10" x14ac:dyDescent="0.4">
      <c r="B237" t="str">
        <f>IF(A237="","",A237+MAX(B$2:B236))</f>
        <v/>
      </c>
      <c r="E237" s="42"/>
      <c r="F237" s="32"/>
      <c r="H237" s="50"/>
      <c r="J237" s="43"/>
    </row>
    <row r="238" spans="2:10" x14ac:dyDescent="0.4">
      <c r="B238" t="str">
        <f>IF(A238="","",A238+MAX(B$2:B237))</f>
        <v/>
      </c>
      <c r="E238" s="42"/>
      <c r="F238" s="32"/>
      <c r="H238" s="50"/>
      <c r="J238" s="43"/>
    </row>
    <row r="239" spans="2:10" x14ac:dyDescent="0.4">
      <c r="B239" t="str">
        <f>IF(A239="","",A239+MAX(B$2:B238))</f>
        <v/>
      </c>
      <c r="E239" s="42"/>
      <c r="F239" s="32"/>
      <c r="H239" s="50"/>
      <c r="J239" s="43"/>
    </row>
    <row r="240" spans="2:10" x14ac:dyDescent="0.4">
      <c r="B240" t="str">
        <f>IF(A240="","",A240+MAX(B$2:B239))</f>
        <v/>
      </c>
      <c r="E240" s="42"/>
      <c r="F240" s="32"/>
      <c r="H240" s="50"/>
      <c r="J240" s="43"/>
    </row>
    <row r="241" spans="2:10" x14ac:dyDescent="0.4">
      <c r="B241" t="str">
        <f>IF(A241="","",A241+MAX(B$2:B240))</f>
        <v/>
      </c>
      <c r="E241" s="42"/>
      <c r="F241" s="32"/>
      <c r="H241" s="50"/>
      <c r="J241" s="43"/>
    </row>
    <row r="242" spans="2:10" x14ac:dyDescent="0.4">
      <c r="B242" t="str">
        <f>IF(A242="","",A242+MAX(B$2:B241))</f>
        <v/>
      </c>
      <c r="E242" s="42"/>
      <c r="F242" s="32"/>
      <c r="H242" s="50"/>
      <c r="J242" s="43"/>
    </row>
    <row r="243" spans="2:10" x14ac:dyDescent="0.4">
      <c r="B243" t="str">
        <f>IF(A243="","",A243+MAX(B$2:B242))</f>
        <v/>
      </c>
      <c r="E243" s="42"/>
      <c r="F243" s="32"/>
      <c r="H243" s="50"/>
      <c r="J243" s="43"/>
    </row>
    <row r="244" spans="2:10" x14ac:dyDescent="0.4">
      <c r="B244" t="str">
        <f>IF(A244="","",A244+MAX(B$2:B243))</f>
        <v/>
      </c>
      <c r="E244" s="42"/>
      <c r="F244" s="32"/>
      <c r="H244" s="50"/>
      <c r="J244" s="43"/>
    </row>
    <row r="245" spans="2:10" x14ac:dyDescent="0.4">
      <c r="B245" t="str">
        <f>IF(A245="","",A245+MAX(B$2:B244))</f>
        <v/>
      </c>
      <c r="E245" s="42"/>
      <c r="F245" s="32"/>
      <c r="H245" s="50"/>
      <c r="J245" s="43"/>
    </row>
    <row r="246" spans="2:10" x14ac:dyDescent="0.4">
      <c r="B246" t="str">
        <f>IF(A246="","",A246+MAX(B$2:B245))</f>
        <v/>
      </c>
      <c r="E246" s="42"/>
      <c r="F246" s="32"/>
      <c r="H246" s="50"/>
      <c r="J246" s="43"/>
    </row>
    <row r="247" spans="2:10" x14ac:dyDescent="0.4">
      <c r="B247" t="str">
        <f>IF(A247="","",A247+MAX(B$2:B246))</f>
        <v/>
      </c>
      <c r="E247" s="42"/>
      <c r="F247" s="32"/>
      <c r="H247" s="50"/>
      <c r="J247" s="43"/>
    </row>
    <row r="248" spans="2:10" x14ac:dyDescent="0.4">
      <c r="B248" t="str">
        <f>IF(A248="","",A248+MAX(B$2:B247))</f>
        <v/>
      </c>
      <c r="E248" s="42"/>
      <c r="F248" s="32"/>
      <c r="H248" s="50"/>
      <c r="J248" s="43"/>
    </row>
    <row r="249" spans="2:10" x14ac:dyDescent="0.4">
      <c r="B249" t="str">
        <f>IF(A249="","",A249+MAX(B$2:B248))</f>
        <v/>
      </c>
      <c r="E249" s="42"/>
      <c r="F249" s="32"/>
      <c r="H249" s="50"/>
      <c r="J249" s="43"/>
    </row>
    <row r="250" spans="2:10" x14ac:dyDescent="0.4">
      <c r="B250" t="str">
        <f>IF(A250="","",A250+MAX(B$2:B249))</f>
        <v/>
      </c>
      <c r="E250" s="42"/>
      <c r="F250" s="32"/>
      <c r="H250" s="50"/>
      <c r="J250" s="43"/>
    </row>
    <row r="251" spans="2:10" x14ac:dyDescent="0.4">
      <c r="B251" t="str">
        <f>IF(A251="","",A251+MAX(B$2:B250))</f>
        <v/>
      </c>
      <c r="E251" s="42"/>
      <c r="F251" s="32"/>
      <c r="H251" s="50"/>
      <c r="J251" s="43"/>
    </row>
    <row r="252" spans="2:10" x14ac:dyDescent="0.4">
      <c r="B252" t="str">
        <f>IF(A252="","",A252+MAX(B$2:B251))</f>
        <v/>
      </c>
      <c r="E252" s="42"/>
      <c r="F252" s="32"/>
      <c r="H252" s="50"/>
      <c r="J252" s="43"/>
    </row>
    <row r="253" spans="2:10" x14ac:dyDescent="0.4">
      <c r="B253" t="str">
        <f>IF(A253="","",A253+MAX(B$2:B252))</f>
        <v/>
      </c>
      <c r="E253" s="42"/>
      <c r="F253" s="32"/>
      <c r="H253" s="50"/>
      <c r="J253" s="43"/>
    </row>
    <row r="254" spans="2:10" x14ac:dyDescent="0.4">
      <c r="B254" t="str">
        <f>IF(A254="","",A254+MAX(B$2:B253))</f>
        <v/>
      </c>
      <c r="E254" s="42"/>
      <c r="F254" s="32"/>
      <c r="H254" s="50"/>
      <c r="J254" s="43"/>
    </row>
    <row r="255" spans="2:10" x14ac:dyDescent="0.4">
      <c r="B255" t="str">
        <f>IF(A255="","",A255+MAX(B$2:B254))</f>
        <v/>
      </c>
      <c r="E255" s="42"/>
      <c r="F255" s="32"/>
      <c r="H255" s="50"/>
      <c r="J255" s="43"/>
    </row>
    <row r="256" spans="2:10" x14ac:dyDescent="0.4">
      <c r="B256" t="str">
        <f>IF(A256="","",A256+MAX(B$2:B255))</f>
        <v/>
      </c>
      <c r="E256" s="42"/>
      <c r="F256" s="32"/>
      <c r="H256" s="50"/>
      <c r="J256" s="43"/>
    </row>
    <row r="257" spans="2:10" x14ac:dyDescent="0.4">
      <c r="B257" t="str">
        <f>IF(A257="","",A257+MAX(B$2:B256))</f>
        <v/>
      </c>
      <c r="E257" s="42"/>
      <c r="F257" s="32"/>
      <c r="H257" s="50"/>
      <c r="J257" s="43"/>
    </row>
    <row r="258" spans="2:10" x14ac:dyDescent="0.4">
      <c r="B258" t="str">
        <f>IF(A258="","",A258+MAX(B$2:B257))</f>
        <v/>
      </c>
      <c r="E258" s="42"/>
      <c r="F258" s="32"/>
      <c r="H258" s="50"/>
      <c r="J258" s="43"/>
    </row>
    <row r="259" spans="2:10" x14ac:dyDescent="0.4">
      <c r="B259" t="str">
        <f>IF(A259="","",A259+MAX(B$2:B258))</f>
        <v/>
      </c>
      <c r="E259" s="42"/>
      <c r="F259" s="32"/>
      <c r="H259" s="50"/>
      <c r="J259" s="43"/>
    </row>
    <row r="260" spans="2:10" x14ac:dyDescent="0.4">
      <c r="B260" t="str">
        <f>IF(A260="","",A260+MAX(B$2:B259))</f>
        <v/>
      </c>
      <c r="E260" s="42"/>
      <c r="F260" s="32"/>
      <c r="H260" s="50"/>
      <c r="J260" s="43"/>
    </row>
    <row r="261" spans="2:10" x14ac:dyDescent="0.4">
      <c r="B261" t="str">
        <f>IF(A261="","",A261+MAX(B$2:B260))</f>
        <v/>
      </c>
      <c r="E261" s="42"/>
      <c r="F261" s="32"/>
      <c r="H261" s="50"/>
      <c r="J261" s="43"/>
    </row>
    <row r="262" spans="2:10" x14ac:dyDescent="0.4">
      <c r="B262" t="str">
        <f>IF(A262="","",A262+MAX(B$2:B261))</f>
        <v/>
      </c>
      <c r="E262" s="42"/>
      <c r="F262" s="32"/>
      <c r="H262" s="50"/>
      <c r="J262" s="43"/>
    </row>
    <row r="263" spans="2:10" x14ac:dyDescent="0.4">
      <c r="B263" t="str">
        <f>IF(A263="","",A263+MAX(B$2:B262))</f>
        <v/>
      </c>
      <c r="E263" s="42"/>
      <c r="F263" s="32"/>
      <c r="H263" s="50"/>
      <c r="J263" s="43"/>
    </row>
    <row r="264" spans="2:10" x14ac:dyDescent="0.4">
      <c r="B264" t="str">
        <f>IF(A264="","",A264+MAX(B$2:B263))</f>
        <v/>
      </c>
      <c r="E264" s="42"/>
      <c r="F264" s="32"/>
      <c r="H264" s="50"/>
      <c r="J264" s="43"/>
    </row>
    <row r="265" spans="2:10" x14ac:dyDescent="0.4">
      <c r="B265" t="str">
        <f>IF(A265="","",A265+MAX(B$2:B264))</f>
        <v/>
      </c>
      <c r="E265" s="42"/>
      <c r="F265" s="32"/>
      <c r="H265" s="50"/>
      <c r="J265" s="43"/>
    </row>
    <row r="266" spans="2:10" x14ac:dyDescent="0.4">
      <c r="B266" t="str">
        <f>IF(A266="","",A266+MAX(B$2:B265))</f>
        <v/>
      </c>
      <c r="E266" s="42"/>
      <c r="F266" s="32"/>
      <c r="H266" s="50"/>
      <c r="J266" s="43"/>
    </row>
    <row r="267" spans="2:10" x14ac:dyDescent="0.4">
      <c r="B267" t="str">
        <f>IF(A267="","",A267+MAX(B$2:B266))</f>
        <v/>
      </c>
      <c r="E267" s="42"/>
      <c r="F267" s="32"/>
      <c r="H267" s="50"/>
      <c r="J267" s="43"/>
    </row>
    <row r="268" spans="2:10" x14ac:dyDescent="0.4">
      <c r="B268" t="str">
        <f>IF(A268="","",A268+MAX(B$2:B267))</f>
        <v/>
      </c>
      <c r="E268" s="42"/>
      <c r="F268" s="32"/>
      <c r="H268" s="50"/>
      <c r="J268" s="43"/>
    </row>
    <row r="269" spans="2:10" x14ac:dyDescent="0.4">
      <c r="B269" t="str">
        <f>IF(A269="","",A269+MAX(B$2:B268))</f>
        <v/>
      </c>
      <c r="E269" s="42"/>
      <c r="F269" s="32"/>
      <c r="H269" s="50"/>
      <c r="J269" s="43"/>
    </row>
    <row r="270" spans="2:10" x14ac:dyDescent="0.4">
      <c r="B270" t="str">
        <f>IF(A270="","",A270+MAX(B$2:B269))</f>
        <v/>
      </c>
      <c r="E270" s="42"/>
      <c r="F270" s="32"/>
      <c r="H270" s="50"/>
      <c r="J270" s="43"/>
    </row>
    <row r="271" spans="2:10" x14ac:dyDescent="0.4">
      <c r="B271" t="str">
        <f>IF(A271="","",A271+MAX(B$2:B270))</f>
        <v/>
      </c>
      <c r="E271" s="42"/>
      <c r="F271" s="32"/>
      <c r="H271" s="50"/>
      <c r="J271" s="43"/>
    </row>
    <row r="272" spans="2:10" x14ac:dyDescent="0.4">
      <c r="B272" t="str">
        <f>IF(A272="","",A272+MAX(B$2:B271))</f>
        <v/>
      </c>
      <c r="E272" s="42"/>
      <c r="F272" s="32"/>
      <c r="H272" s="50"/>
      <c r="J272" s="43"/>
    </row>
    <row r="273" spans="2:10" x14ac:dyDescent="0.4">
      <c r="B273" t="str">
        <f>IF(A273="","",A273+MAX(B$2:B272))</f>
        <v/>
      </c>
      <c r="E273" s="42"/>
      <c r="F273" s="32"/>
      <c r="H273" s="50"/>
      <c r="J273" s="43"/>
    </row>
    <row r="274" spans="2:10" x14ac:dyDescent="0.4">
      <c r="B274" t="str">
        <f>IF(A274="","",A274+MAX(B$2:B273))</f>
        <v/>
      </c>
      <c r="E274" s="42"/>
      <c r="F274" s="32"/>
      <c r="H274" s="50"/>
      <c r="J274" s="43"/>
    </row>
    <row r="275" spans="2:10" x14ac:dyDescent="0.4">
      <c r="B275" t="str">
        <f>IF(A275="","",A275+MAX(B$2:B274))</f>
        <v/>
      </c>
      <c r="E275" s="42"/>
      <c r="F275" s="32"/>
      <c r="H275" s="50"/>
      <c r="J275" s="43"/>
    </row>
    <row r="276" spans="2:10" x14ac:dyDescent="0.4">
      <c r="B276" t="str">
        <f>IF(A276="","",A276+MAX(B$2:B275))</f>
        <v/>
      </c>
      <c r="E276" s="42"/>
      <c r="F276" s="32"/>
      <c r="H276" s="50"/>
      <c r="J276" s="43"/>
    </row>
    <row r="277" spans="2:10" x14ac:dyDescent="0.4">
      <c r="B277" t="str">
        <f>IF(A277="","",A277+MAX(B$2:B276))</f>
        <v/>
      </c>
      <c r="E277" s="42"/>
      <c r="F277" s="32"/>
      <c r="H277" s="50"/>
      <c r="J277" s="43"/>
    </row>
    <row r="278" spans="2:10" x14ac:dyDescent="0.4">
      <c r="B278" t="str">
        <f>IF(A278="","",A278+MAX(B$2:B277))</f>
        <v/>
      </c>
      <c r="E278" s="42"/>
      <c r="F278" s="32"/>
      <c r="H278" s="50"/>
      <c r="J278" s="43"/>
    </row>
    <row r="279" spans="2:10" x14ac:dyDescent="0.4">
      <c r="B279" t="str">
        <f>IF(A279="","",A279+MAX(B$2:B278))</f>
        <v/>
      </c>
      <c r="E279" s="42"/>
      <c r="F279" s="32"/>
      <c r="H279" s="50"/>
      <c r="J279" s="43"/>
    </row>
    <row r="280" spans="2:10" x14ac:dyDescent="0.4">
      <c r="B280" t="str">
        <f>IF(A280="","",A280+MAX(B$2:B279))</f>
        <v/>
      </c>
      <c r="E280" s="42"/>
      <c r="F280" s="32"/>
      <c r="H280" s="50"/>
      <c r="J280" s="43"/>
    </row>
    <row r="281" spans="2:10" x14ac:dyDescent="0.4">
      <c r="B281" t="str">
        <f>IF(A281="","",A281+MAX(B$2:B280))</f>
        <v/>
      </c>
      <c r="E281" s="42"/>
      <c r="F281" s="32"/>
      <c r="H281" s="50"/>
      <c r="J281" s="43"/>
    </row>
    <row r="282" spans="2:10" x14ac:dyDescent="0.4">
      <c r="B282" t="str">
        <f>IF(A282="","",A282+MAX(B$2:B281))</f>
        <v/>
      </c>
      <c r="E282" s="42"/>
      <c r="F282" s="32"/>
      <c r="H282" s="50"/>
      <c r="J282" s="43"/>
    </row>
    <row r="283" spans="2:10" x14ac:dyDescent="0.4">
      <c r="B283" t="str">
        <f>IF(A283="","",A283+MAX(B$2:B282))</f>
        <v/>
      </c>
      <c r="E283" s="42"/>
      <c r="F283" s="32"/>
      <c r="H283" s="50"/>
      <c r="J283" s="43"/>
    </row>
    <row r="284" spans="2:10" x14ac:dyDescent="0.4">
      <c r="B284" t="str">
        <f>IF(A284="","",A284+MAX(B$2:B283))</f>
        <v/>
      </c>
      <c r="E284" s="42"/>
      <c r="F284" s="32"/>
      <c r="H284" s="50"/>
      <c r="J284" s="43"/>
    </row>
    <row r="285" spans="2:10" x14ac:dyDescent="0.4">
      <c r="B285" t="str">
        <f>IF(A285="","",A285+MAX(B$2:B284))</f>
        <v/>
      </c>
      <c r="E285" s="42"/>
      <c r="F285" s="32"/>
      <c r="H285" s="50"/>
      <c r="J285" s="43"/>
    </row>
    <row r="286" spans="2:10" x14ac:dyDescent="0.4">
      <c r="B286" t="str">
        <f>IF(A286="","",A286+MAX(B$2:B285))</f>
        <v/>
      </c>
      <c r="E286" s="42"/>
      <c r="F286" s="32"/>
      <c r="H286" s="50"/>
      <c r="J286" s="43"/>
    </row>
    <row r="287" spans="2:10" x14ac:dyDescent="0.4">
      <c r="B287" t="str">
        <f>IF(A287="","",A287+MAX(B$2:B286))</f>
        <v/>
      </c>
      <c r="E287" s="42"/>
      <c r="F287" s="32"/>
      <c r="H287" s="50"/>
      <c r="J287" s="43"/>
    </row>
    <row r="288" spans="2:10" x14ac:dyDescent="0.4">
      <c r="B288" t="str">
        <f>IF(A288="","",A288+MAX(B$2:B287))</f>
        <v/>
      </c>
      <c r="E288" s="42"/>
      <c r="F288" s="32"/>
      <c r="H288" s="50"/>
      <c r="J288" s="43"/>
    </row>
    <row r="289" spans="2:10" x14ac:dyDescent="0.4">
      <c r="B289" t="str">
        <f>IF(A289="","",A289+MAX(B$2:B288))</f>
        <v/>
      </c>
      <c r="E289" s="42"/>
      <c r="F289" s="32"/>
      <c r="H289" s="50"/>
      <c r="J289" s="43"/>
    </row>
    <row r="290" spans="2:10" x14ac:dyDescent="0.4">
      <c r="B290" t="str">
        <f>IF(A290="","",A290+MAX(B$2:B289))</f>
        <v/>
      </c>
      <c r="E290" s="42"/>
      <c r="F290" s="32"/>
      <c r="H290" s="50"/>
      <c r="J290" s="43"/>
    </row>
    <row r="291" spans="2:10" x14ac:dyDescent="0.4">
      <c r="B291" t="str">
        <f>IF(A291="","",A291+MAX(B$2:B290))</f>
        <v/>
      </c>
      <c r="E291" s="42"/>
      <c r="F291" s="32"/>
      <c r="H291" s="50"/>
      <c r="J291" s="43"/>
    </row>
    <row r="292" spans="2:10" x14ac:dyDescent="0.4">
      <c r="B292" t="str">
        <f>IF(A292="","",A292+MAX(B$2:B291))</f>
        <v/>
      </c>
      <c r="E292" s="42"/>
      <c r="F292" s="32"/>
      <c r="H292" s="50"/>
      <c r="J292" s="43"/>
    </row>
    <row r="293" spans="2:10" x14ac:dyDescent="0.4">
      <c r="B293" t="str">
        <f>IF(A293="","",A293+MAX(B$2:B292))</f>
        <v/>
      </c>
      <c r="E293" s="42"/>
      <c r="F293" s="32"/>
      <c r="H293" s="50"/>
      <c r="J293" s="43"/>
    </row>
    <row r="294" spans="2:10" x14ac:dyDescent="0.4">
      <c r="B294" t="str">
        <f>IF(A294="","",A294+MAX(B$2:B293))</f>
        <v/>
      </c>
      <c r="E294" s="42"/>
      <c r="F294" s="32"/>
      <c r="H294" s="50"/>
      <c r="J294" s="43"/>
    </row>
    <row r="295" spans="2:10" x14ac:dyDescent="0.4">
      <c r="B295" t="str">
        <f>IF(A295="","",A295+MAX(B$2:B294))</f>
        <v/>
      </c>
      <c r="E295" s="42"/>
      <c r="F295" s="32"/>
      <c r="H295" s="50"/>
      <c r="J295" s="43"/>
    </row>
    <row r="296" spans="2:10" x14ac:dyDescent="0.4">
      <c r="B296" t="str">
        <f>IF(A296="","",A296+MAX(B$2:B295))</f>
        <v/>
      </c>
      <c r="E296" s="42"/>
      <c r="F296" s="32"/>
      <c r="H296" s="50"/>
      <c r="J296" s="43"/>
    </row>
    <row r="297" spans="2:10" x14ac:dyDescent="0.4">
      <c r="B297" t="str">
        <f>IF(A297="","",A297+MAX(B$2:B296))</f>
        <v/>
      </c>
      <c r="E297" s="42"/>
      <c r="F297" s="32"/>
      <c r="H297" s="50"/>
      <c r="J297" s="43"/>
    </row>
    <row r="298" spans="2:10" x14ac:dyDescent="0.4">
      <c r="B298" t="str">
        <f>IF(A298="","",A298+MAX(B$2:B297))</f>
        <v/>
      </c>
      <c r="E298" s="42"/>
      <c r="F298" s="32"/>
      <c r="H298" s="50"/>
      <c r="J298" s="43"/>
    </row>
    <row r="299" spans="2:10" x14ac:dyDescent="0.4">
      <c r="B299" t="str">
        <f>IF(A299="","",A299+MAX(B$2:B298))</f>
        <v/>
      </c>
      <c r="E299" s="42"/>
      <c r="F299" s="32"/>
      <c r="H299" s="50"/>
      <c r="J299" s="43"/>
    </row>
    <row r="300" spans="2:10" x14ac:dyDescent="0.4">
      <c r="B300" t="str">
        <f>IF(A300="","",A300+MAX(B$2:B299))</f>
        <v/>
      </c>
      <c r="E300" s="42"/>
      <c r="F300" s="32"/>
      <c r="H300" s="50"/>
      <c r="J300" s="43"/>
    </row>
    <row r="301" spans="2:10" x14ac:dyDescent="0.4">
      <c r="B301" t="str">
        <f>IF(A301="","",A301+MAX(B$2:B300))</f>
        <v/>
      </c>
      <c r="E301" s="42"/>
      <c r="F301" s="32"/>
      <c r="H301" s="50"/>
      <c r="J301" s="43"/>
    </row>
    <row r="302" spans="2:10" x14ac:dyDescent="0.4">
      <c r="B302" t="str">
        <f>IF(A302="","",A302+MAX(B$2:B301))</f>
        <v/>
      </c>
      <c r="E302" s="42"/>
      <c r="F302" s="32"/>
      <c r="H302" s="50"/>
      <c r="J302" s="43"/>
    </row>
    <row r="303" spans="2:10" x14ac:dyDescent="0.4">
      <c r="B303" t="str">
        <f>IF(A303="","",A303+MAX(B$2:B302))</f>
        <v/>
      </c>
      <c r="E303" s="42"/>
      <c r="F303" s="32"/>
      <c r="H303" s="50"/>
      <c r="J303" s="43"/>
    </row>
    <row r="304" spans="2:10" x14ac:dyDescent="0.4">
      <c r="B304" t="str">
        <f>IF(A304="","",A304+MAX(B$2:B303))</f>
        <v/>
      </c>
      <c r="E304" s="42"/>
      <c r="F304" s="32"/>
      <c r="H304" s="50"/>
      <c r="J304" s="43"/>
    </row>
    <row r="305" spans="2:10" x14ac:dyDescent="0.4">
      <c r="B305" t="str">
        <f>IF(A305="","",A305+MAX(B$2:B304))</f>
        <v/>
      </c>
      <c r="E305" s="42"/>
      <c r="F305" s="32"/>
      <c r="H305" s="50"/>
      <c r="J305" s="43"/>
    </row>
    <row r="306" spans="2:10" x14ac:dyDescent="0.4">
      <c r="B306" t="str">
        <f>IF(A306="","",A306+MAX(B$2:B305))</f>
        <v/>
      </c>
      <c r="E306" s="42"/>
      <c r="F306" s="32"/>
      <c r="H306" s="50"/>
      <c r="J306" s="43"/>
    </row>
    <row r="307" spans="2:10" x14ac:dyDescent="0.4">
      <c r="B307" t="str">
        <f>IF(A307="","",A307+MAX(B$2:B306))</f>
        <v/>
      </c>
      <c r="E307" s="42"/>
      <c r="F307" s="32"/>
      <c r="H307" s="50"/>
      <c r="J307" s="43"/>
    </row>
    <row r="308" spans="2:10" x14ac:dyDescent="0.4">
      <c r="B308" t="str">
        <f>IF(A308="","",A308+MAX(B$2:B307))</f>
        <v/>
      </c>
      <c r="E308" s="42"/>
      <c r="F308" s="32"/>
      <c r="H308" s="50"/>
      <c r="J308" s="43"/>
    </row>
    <row r="309" spans="2:10" x14ac:dyDescent="0.4">
      <c r="B309" t="str">
        <f>IF(A309="","",A309+MAX(B$2:B308))</f>
        <v/>
      </c>
      <c r="E309" s="42"/>
      <c r="F309" s="32"/>
      <c r="H309" s="50"/>
      <c r="J309" s="43"/>
    </row>
    <row r="310" spans="2:10" x14ac:dyDescent="0.4">
      <c r="B310" t="str">
        <f>IF(A310="","",A310+MAX(B$2:B309))</f>
        <v/>
      </c>
      <c r="E310" s="42"/>
      <c r="F310" s="32"/>
      <c r="H310" s="50"/>
      <c r="J310" s="43"/>
    </row>
    <row r="311" spans="2:10" x14ac:dyDescent="0.4">
      <c r="B311" t="str">
        <f>IF(A311="","",A311+MAX(B$2:B310))</f>
        <v/>
      </c>
      <c r="E311" s="42"/>
      <c r="F311" s="32"/>
      <c r="H311" s="50"/>
      <c r="J311" s="43"/>
    </row>
    <row r="312" spans="2:10" x14ac:dyDescent="0.4">
      <c r="B312" t="str">
        <f>IF(A312="","",A312+MAX(B$2:B311))</f>
        <v/>
      </c>
      <c r="E312" s="42"/>
      <c r="F312" s="32"/>
      <c r="H312" s="50"/>
      <c r="J312" s="43"/>
    </row>
    <row r="313" spans="2:10" x14ac:dyDescent="0.4">
      <c r="B313" t="str">
        <f>IF(A313="","",A313+MAX(B$2:B312))</f>
        <v/>
      </c>
      <c r="E313" s="42"/>
      <c r="F313" s="32"/>
      <c r="H313" s="50"/>
      <c r="J313" s="43"/>
    </row>
    <row r="314" spans="2:10" x14ac:dyDescent="0.4">
      <c r="B314" t="str">
        <f>IF(A314="","",A314+MAX(B$2:B313))</f>
        <v/>
      </c>
      <c r="E314" s="42"/>
      <c r="F314" s="32"/>
      <c r="H314" s="50"/>
      <c r="J314" s="43"/>
    </row>
    <row r="315" spans="2:10" x14ac:dyDescent="0.4">
      <c r="B315" t="str">
        <f>IF(A315="","",A315+MAX(B$2:B314))</f>
        <v/>
      </c>
      <c r="E315" s="42"/>
      <c r="F315" s="32"/>
      <c r="H315" s="50"/>
      <c r="J315" s="43"/>
    </row>
    <row r="316" spans="2:10" x14ac:dyDescent="0.4">
      <c r="B316" t="str">
        <f>IF(A316="","",A316+MAX(B$2:B315))</f>
        <v/>
      </c>
      <c r="E316" s="42"/>
      <c r="F316" s="32"/>
      <c r="H316" s="50"/>
      <c r="J316" s="43"/>
    </row>
    <row r="317" spans="2:10" x14ac:dyDescent="0.4">
      <c r="B317" t="str">
        <f>IF(A317="","",A317+MAX(B$2:B316))</f>
        <v/>
      </c>
      <c r="E317" s="42"/>
      <c r="F317" s="32"/>
      <c r="H317" s="50"/>
      <c r="J317" s="43"/>
    </row>
    <row r="318" spans="2:10" x14ac:dyDescent="0.4">
      <c r="B318" t="str">
        <f>IF(A318="","",A318+MAX(B$2:B317))</f>
        <v/>
      </c>
      <c r="E318" s="42"/>
      <c r="F318" s="32"/>
      <c r="H318" s="50"/>
      <c r="J318" s="43"/>
    </row>
    <row r="319" spans="2:10" x14ac:dyDescent="0.4">
      <c r="B319" t="str">
        <f>IF(A319="","",A319+MAX(B$2:B318))</f>
        <v/>
      </c>
      <c r="E319" s="42"/>
      <c r="F319" s="32"/>
      <c r="H319" s="50"/>
      <c r="J319" s="43"/>
    </row>
    <row r="320" spans="2:10" x14ac:dyDescent="0.4">
      <c r="B320" t="str">
        <f>IF(A320="","",A320+MAX(B$2:B319))</f>
        <v/>
      </c>
      <c r="E320" s="42"/>
      <c r="F320" s="32"/>
      <c r="H320" s="50"/>
      <c r="J320" s="43"/>
    </row>
    <row r="321" spans="2:10" x14ac:dyDescent="0.4">
      <c r="B321" t="str">
        <f>IF(A321="","",A321+MAX(B$2:B320))</f>
        <v/>
      </c>
      <c r="E321" s="42"/>
      <c r="F321" s="32"/>
      <c r="H321" s="50"/>
      <c r="J321" s="43"/>
    </row>
    <row r="322" spans="2:10" x14ac:dyDescent="0.4">
      <c r="B322" t="str">
        <f>IF(A322="","",A322+MAX(B$2:B321))</f>
        <v/>
      </c>
      <c r="E322" s="42"/>
      <c r="F322" s="32"/>
      <c r="H322" s="50"/>
      <c r="J322" s="43"/>
    </row>
    <row r="323" spans="2:10" x14ac:dyDescent="0.4">
      <c r="B323" t="str">
        <f>IF(A323="","",A323+MAX(B$2:B322))</f>
        <v/>
      </c>
      <c r="E323" s="42"/>
      <c r="F323" s="32"/>
      <c r="H323" s="50"/>
      <c r="J323" s="43"/>
    </row>
    <row r="324" spans="2:10" x14ac:dyDescent="0.4">
      <c r="B324" t="str">
        <f>IF(A324="","",A324+MAX(B$2:B323))</f>
        <v/>
      </c>
      <c r="E324" s="42"/>
      <c r="F324" s="32"/>
      <c r="H324" s="50"/>
      <c r="J324" s="43"/>
    </row>
    <row r="325" spans="2:10" x14ac:dyDescent="0.4">
      <c r="B325" t="str">
        <f>IF(A325="","",A325+MAX(B$2:B324))</f>
        <v/>
      </c>
      <c r="E325" s="42"/>
      <c r="F325" s="32"/>
      <c r="H325" s="50"/>
      <c r="J325" s="43"/>
    </row>
    <row r="326" spans="2:10" x14ac:dyDescent="0.4">
      <c r="B326" t="str">
        <f>IF(A326="","",A326+MAX(B$2:B325))</f>
        <v/>
      </c>
      <c r="E326" s="42"/>
      <c r="F326" s="32"/>
      <c r="H326" s="50"/>
      <c r="J326" s="43"/>
    </row>
    <row r="327" spans="2:10" x14ac:dyDescent="0.4">
      <c r="B327" t="str">
        <f>IF(A327="","",A327+MAX(B$2:B326))</f>
        <v/>
      </c>
      <c r="E327" s="42"/>
      <c r="F327" s="32"/>
      <c r="H327" s="50"/>
      <c r="J327" s="43"/>
    </row>
    <row r="328" spans="2:10" x14ac:dyDescent="0.4">
      <c r="B328" t="str">
        <f>IF(A328="","",A328+MAX(B$2:B327))</f>
        <v/>
      </c>
      <c r="E328" s="42"/>
      <c r="F328" s="32"/>
      <c r="H328" s="50"/>
      <c r="J328" s="43"/>
    </row>
    <row r="329" spans="2:10" x14ac:dyDescent="0.4">
      <c r="B329" t="str">
        <f>IF(A329="","",A329+MAX(B$2:B328))</f>
        <v/>
      </c>
      <c r="E329" s="42"/>
      <c r="F329" s="32"/>
      <c r="H329" s="50"/>
      <c r="J329" s="43"/>
    </row>
    <row r="330" spans="2:10" x14ac:dyDescent="0.4">
      <c r="B330" t="str">
        <f>IF(A330="","",A330+MAX(B$2:B329))</f>
        <v/>
      </c>
      <c r="E330" s="42"/>
      <c r="F330" s="32"/>
      <c r="H330" s="50"/>
      <c r="J330" s="43"/>
    </row>
    <row r="331" spans="2:10" x14ac:dyDescent="0.4">
      <c r="B331" t="str">
        <f>IF(A331="","",A331+MAX(B$2:B330))</f>
        <v/>
      </c>
      <c r="E331" s="42"/>
      <c r="F331" s="32"/>
      <c r="H331" s="50"/>
      <c r="J331" s="43"/>
    </row>
    <row r="332" spans="2:10" x14ac:dyDescent="0.4">
      <c r="B332" t="str">
        <f>IF(A332="","",A332+MAX(B$2:B331))</f>
        <v/>
      </c>
      <c r="E332" s="42"/>
      <c r="F332" s="32"/>
      <c r="H332" s="50"/>
      <c r="J332" s="43"/>
    </row>
    <row r="333" spans="2:10" x14ac:dyDescent="0.4">
      <c r="B333" t="str">
        <f>IF(A333="","",A333+MAX(B$2:B332))</f>
        <v/>
      </c>
      <c r="E333" s="42"/>
      <c r="F333" s="32"/>
      <c r="H333" s="50"/>
      <c r="J333" s="43"/>
    </row>
    <row r="334" spans="2:10" x14ac:dyDescent="0.4">
      <c r="B334" t="str">
        <f>IF(A334="","",A334+MAX(B$2:B333))</f>
        <v/>
      </c>
      <c r="E334" s="42"/>
      <c r="F334" s="32"/>
      <c r="H334" s="50"/>
      <c r="J334" s="43"/>
    </row>
    <row r="335" spans="2:10" x14ac:dyDescent="0.4">
      <c r="B335" t="str">
        <f>IF(A335="","",A335+MAX(B$2:B334))</f>
        <v/>
      </c>
      <c r="E335" s="42"/>
      <c r="F335" s="32"/>
      <c r="H335" s="50"/>
      <c r="J335" s="43"/>
    </row>
    <row r="336" spans="2:10" x14ac:dyDescent="0.4">
      <c r="B336" t="str">
        <f>IF(A336="","",A336+MAX(B$2:B335))</f>
        <v/>
      </c>
      <c r="E336" s="42"/>
      <c r="F336" s="32"/>
      <c r="H336" s="50"/>
      <c r="J336" s="43"/>
    </row>
    <row r="337" spans="2:10" x14ac:dyDescent="0.4">
      <c r="B337" t="str">
        <f>IF(A337="","",A337+MAX(B$2:B336))</f>
        <v/>
      </c>
      <c r="E337" s="42"/>
      <c r="F337" s="32"/>
      <c r="H337" s="50"/>
      <c r="J337" s="43"/>
    </row>
    <row r="338" spans="2:10" x14ac:dyDescent="0.4">
      <c r="B338" t="str">
        <f>IF(A338="","",A338+MAX(B$2:B337))</f>
        <v/>
      </c>
      <c r="E338" s="42"/>
      <c r="F338" s="32"/>
      <c r="H338" s="50"/>
      <c r="J338" s="43"/>
    </row>
    <row r="339" spans="2:10" x14ac:dyDescent="0.4">
      <c r="B339" t="str">
        <f>IF(A339="","",A339+MAX(B$2:B338))</f>
        <v/>
      </c>
      <c r="E339" s="42"/>
      <c r="F339" s="32"/>
      <c r="H339" s="50"/>
      <c r="J339" s="43"/>
    </row>
    <row r="340" spans="2:10" x14ac:dyDescent="0.4">
      <c r="B340" t="str">
        <f>IF(A340="","",A340+MAX(B$2:B339))</f>
        <v/>
      </c>
      <c r="E340" s="42"/>
      <c r="F340" s="32"/>
      <c r="H340" s="50"/>
      <c r="J340" s="43"/>
    </row>
    <row r="341" spans="2:10" x14ac:dyDescent="0.4">
      <c r="B341" t="str">
        <f>IF(A341="","",A341+MAX(B$2:B340))</f>
        <v/>
      </c>
      <c r="E341" s="42"/>
      <c r="F341" s="32"/>
      <c r="H341" s="50"/>
      <c r="J341" s="43"/>
    </row>
    <row r="342" spans="2:10" x14ac:dyDescent="0.4">
      <c r="B342" t="str">
        <f>IF(A342="","",A342+MAX(B$2:B341))</f>
        <v/>
      </c>
      <c r="E342" s="42"/>
      <c r="F342" s="32"/>
      <c r="H342" s="50"/>
      <c r="J342" s="43"/>
    </row>
    <row r="343" spans="2:10" x14ac:dyDescent="0.4">
      <c r="B343" t="str">
        <f>IF(A343="","",A343+MAX(B$2:B342))</f>
        <v/>
      </c>
      <c r="E343" s="42"/>
      <c r="F343" s="32"/>
      <c r="H343" s="50"/>
      <c r="J343" s="43"/>
    </row>
    <row r="344" spans="2:10" x14ac:dyDescent="0.4">
      <c r="B344" t="str">
        <f>IF(A344="","",A344+MAX(B$2:B343))</f>
        <v/>
      </c>
      <c r="E344" s="42"/>
      <c r="F344" s="32"/>
      <c r="H344" s="50"/>
      <c r="J344" s="43"/>
    </row>
    <row r="345" spans="2:10" x14ac:dyDescent="0.4">
      <c r="B345" t="str">
        <f>IF(A345="","",A345+MAX(B$2:B344))</f>
        <v/>
      </c>
      <c r="E345" s="42"/>
      <c r="F345" s="32"/>
      <c r="H345" s="50"/>
      <c r="J345" s="43"/>
    </row>
    <row r="346" spans="2:10" x14ac:dyDescent="0.4">
      <c r="B346" t="str">
        <f>IF(A346="","",A346+MAX(B$2:B345))</f>
        <v/>
      </c>
      <c r="E346" s="42"/>
      <c r="F346" s="32"/>
      <c r="H346" s="50"/>
      <c r="J346" s="43"/>
    </row>
    <row r="347" spans="2:10" x14ac:dyDescent="0.4">
      <c r="B347" t="str">
        <f>IF(A347="","",A347+MAX(B$2:B346))</f>
        <v/>
      </c>
      <c r="E347" s="42"/>
      <c r="F347" s="32"/>
      <c r="H347" s="50"/>
      <c r="J347" s="43"/>
    </row>
    <row r="348" spans="2:10" x14ac:dyDescent="0.4">
      <c r="B348" t="str">
        <f>IF(A348="","",A348+MAX(B$2:B347))</f>
        <v/>
      </c>
      <c r="E348" s="42"/>
      <c r="F348" s="32"/>
      <c r="H348" s="50"/>
      <c r="J348" s="43"/>
    </row>
    <row r="349" spans="2:10" x14ac:dyDescent="0.4">
      <c r="B349" t="str">
        <f>IF(A349="","",A349+MAX(B$2:B348))</f>
        <v/>
      </c>
      <c r="E349" s="42"/>
      <c r="F349" s="32"/>
      <c r="H349" s="50"/>
      <c r="J349" s="43"/>
    </row>
    <row r="350" spans="2:10" x14ac:dyDescent="0.4">
      <c r="B350" t="str">
        <f>IF(A350="","",A350+MAX(B$2:B349))</f>
        <v/>
      </c>
      <c r="E350" s="42"/>
      <c r="F350" s="32"/>
      <c r="H350" s="50"/>
      <c r="J350" s="43"/>
    </row>
    <row r="351" spans="2:10" x14ac:dyDescent="0.4">
      <c r="B351" t="str">
        <f>IF(A351="","",A351+MAX(B$2:B350))</f>
        <v/>
      </c>
      <c r="E351" s="42"/>
      <c r="F351" s="32"/>
      <c r="H351" s="50"/>
      <c r="J351" s="43"/>
    </row>
    <row r="352" spans="2:10" x14ac:dyDescent="0.4">
      <c r="B352" t="str">
        <f>IF(A352="","",A352+MAX(B$2:B351))</f>
        <v/>
      </c>
      <c r="E352" s="42"/>
      <c r="F352" s="32"/>
      <c r="H352" s="50"/>
      <c r="J352" s="43"/>
    </row>
    <row r="353" spans="2:10" x14ac:dyDescent="0.4">
      <c r="B353" t="str">
        <f>IF(A353="","",A353+MAX(B$2:B352))</f>
        <v/>
      </c>
      <c r="E353" s="42"/>
      <c r="F353" s="32"/>
      <c r="H353" s="50"/>
      <c r="J353" s="43"/>
    </row>
    <row r="354" spans="2:10" x14ac:dyDescent="0.4">
      <c r="B354" t="str">
        <f>IF(A354="","",A354+MAX(B$2:B353))</f>
        <v/>
      </c>
      <c r="E354" s="42"/>
      <c r="F354" s="32"/>
      <c r="H354" s="50"/>
      <c r="J354" s="43"/>
    </row>
    <row r="355" spans="2:10" x14ac:dyDescent="0.4">
      <c r="B355" t="str">
        <f>IF(A355="","",A355+MAX(B$2:B354))</f>
        <v/>
      </c>
      <c r="E355" s="42"/>
      <c r="F355" s="32"/>
      <c r="H355" s="50"/>
      <c r="J355" s="43"/>
    </row>
    <row r="356" spans="2:10" x14ac:dyDescent="0.4">
      <c r="B356" t="str">
        <f>IF(A356="","",A356+MAX(B$2:B355))</f>
        <v/>
      </c>
      <c r="E356" s="42"/>
      <c r="F356" s="32"/>
      <c r="H356" s="50"/>
      <c r="J356" s="43"/>
    </row>
    <row r="357" spans="2:10" x14ac:dyDescent="0.4">
      <c r="B357" t="str">
        <f>IF(A357="","",A357+MAX(B$2:B356))</f>
        <v/>
      </c>
      <c r="E357" s="42"/>
      <c r="F357" s="32"/>
      <c r="H357" s="50"/>
      <c r="J357" s="43"/>
    </row>
    <row r="358" spans="2:10" x14ac:dyDescent="0.4">
      <c r="B358" t="str">
        <f>IF(A358="","",A358+MAX(B$2:B357))</f>
        <v/>
      </c>
      <c r="E358" s="42"/>
      <c r="F358" s="32"/>
      <c r="H358" s="50"/>
      <c r="J358" s="43"/>
    </row>
    <row r="359" spans="2:10" x14ac:dyDescent="0.4">
      <c r="B359" t="str">
        <f>IF(A359="","",A359+MAX(B$2:B358))</f>
        <v/>
      </c>
      <c r="E359" s="42"/>
      <c r="F359" s="32"/>
      <c r="H359" s="50"/>
      <c r="J359" s="43"/>
    </row>
    <row r="360" spans="2:10" x14ac:dyDescent="0.4">
      <c r="B360" t="str">
        <f>IF(A360="","",A360+MAX(B$2:B359))</f>
        <v/>
      </c>
      <c r="E360" s="42"/>
      <c r="F360" s="32"/>
      <c r="H360" s="50"/>
      <c r="J360" s="43"/>
    </row>
    <row r="361" spans="2:10" x14ac:dyDescent="0.4">
      <c r="B361" t="str">
        <f>IF(A361="","",A361+MAX(B$2:B360))</f>
        <v/>
      </c>
      <c r="E361" s="42"/>
      <c r="F361" s="32"/>
      <c r="H361" s="50"/>
      <c r="J361" s="43"/>
    </row>
    <row r="362" spans="2:10" x14ac:dyDescent="0.4">
      <c r="B362" t="str">
        <f>IF(A362="","",A362+MAX(B$2:B361))</f>
        <v/>
      </c>
      <c r="E362" s="42"/>
      <c r="F362" s="32"/>
      <c r="H362" s="50"/>
      <c r="J362" s="43"/>
    </row>
    <row r="363" spans="2:10" x14ac:dyDescent="0.4">
      <c r="B363" t="str">
        <f>IF(A363="","",A363+MAX(B$2:B362))</f>
        <v/>
      </c>
      <c r="E363" s="42"/>
      <c r="F363" s="32"/>
      <c r="H363" s="50"/>
      <c r="J363" s="43"/>
    </row>
    <row r="364" spans="2:10" x14ac:dyDescent="0.4">
      <c r="B364" t="str">
        <f>IF(A364="","",A364+MAX(B$2:B363))</f>
        <v/>
      </c>
      <c r="E364" s="42"/>
      <c r="F364" s="32"/>
      <c r="H364" s="50"/>
      <c r="J364" s="43"/>
    </row>
    <row r="365" spans="2:10" x14ac:dyDescent="0.4">
      <c r="B365" t="str">
        <f>IF(A365="","",A365+MAX(B$2:B364))</f>
        <v/>
      </c>
      <c r="E365" s="42"/>
      <c r="F365" s="32"/>
      <c r="H365" s="50"/>
      <c r="J365" s="43"/>
    </row>
    <row r="366" spans="2:10" x14ac:dyDescent="0.4">
      <c r="B366" t="str">
        <f>IF(A366="","",A366+MAX(B$2:B365))</f>
        <v/>
      </c>
      <c r="E366" s="42"/>
      <c r="F366" s="32"/>
      <c r="H366" s="50"/>
      <c r="J366" s="43"/>
    </row>
    <row r="367" spans="2:10" x14ac:dyDescent="0.4">
      <c r="B367" t="str">
        <f>IF(A367="","",A367+MAX(B$2:B366))</f>
        <v/>
      </c>
      <c r="E367" s="42"/>
      <c r="F367" s="32"/>
      <c r="H367" s="50"/>
      <c r="J367" s="43"/>
    </row>
    <row r="368" spans="2:10" x14ac:dyDescent="0.4">
      <c r="B368" t="str">
        <f>IF(A368="","",A368+MAX(B$2:B367))</f>
        <v/>
      </c>
      <c r="E368" s="42"/>
      <c r="F368" s="32"/>
      <c r="H368" s="50"/>
      <c r="J368" s="43"/>
    </row>
    <row r="369" spans="2:10" x14ac:dyDescent="0.4">
      <c r="B369" t="str">
        <f>IF(A369="","",A369+MAX(B$2:B368))</f>
        <v/>
      </c>
      <c r="E369" s="42"/>
      <c r="F369" s="32"/>
      <c r="H369" s="50"/>
      <c r="J369" s="43"/>
    </row>
    <row r="370" spans="2:10" x14ac:dyDescent="0.4">
      <c r="B370" t="str">
        <f>IF(A370="","",A370+MAX(B$2:B369))</f>
        <v/>
      </c>
      <c r="E370" s="42"/>
      <c r="F370" s="32"/>
      <c r="H370" s="50"/>
      <c r="J370" s="43"/>
    </row>
    <row r="371" spans="2:10" x14ac:dyDescent="0.4">
      <c r="B371" t="str">
        <f>IF(A371="","",A371+MAX(B$2:B370))</f>
        <v/>
      </c>
      <c r="E371" s="42"/>
      <c r="F371" s="32"/>
      <c r="H371" s="50"/>
      <c r="J371" s="43"/>
    </row>
    <row r="372" spans="2:10" x14ac:dyDescent="0.4">
      <c r="B372" t="str">
        <f>IF(A372="","",A372+MAX(B$2:B371))</f>
        <v/>
      </c>
      <c r="E372" s="42"/>
      <c r="F372" s="32"/>
      <c r="H372" s="50"/>
      <c r="J372" s="43"/>
    </row>
    <row r="373" spans="2:10" x14ac:dyDescent="0.4">
      <c r="B373" t="str">
        <f>IF(A373="","",A373+MAX(B$2:B372))</f>
        <v/>
      </c>
      <c r="E373" s="42"/>
      <c r="F373" s="32"/>
      <c r="H373" s="50"/>
      <c r="J373" s="43"/>
    </row>
    <row r="374" spans="2:10" x14ac:dyDescent="0.4">
      <c r="B374" t="str">
        <f>IF(A374="","",A374+MAX(B$2:B373))</f>
        <v/>
      </c>
      <c r="E374" s="42"/>
      <c r="F374" s="32"/>
      <c r="H374" s="50"/>
      <c r="J374" s="43"/>
    </row>
    <row r="375" spans="2:10" x14ac:dyDescent="0.4">
      <c r="B375" t="str">
        <f>IF(A375="","",A375+MAX(B$2:B374))</f>
        <v/>
      </c>
      <c r="E375" s="42"/>
      <c r="F375" s="32"/>
      <c r="H375" s="50"/>
      <c r="J375" s="43"/>
    </row>
    <row r="376" spans="2:10" x14ac:dyDescent="0.4">
      <c r="B376" t="str">
        <f>IF(A376="","",A376+MAX(B$2:B375))</f>
        <v/>
      </c>
      <c r="E376" s="42"/>
      <c r="F376" s="32"/>
      <c r="H376" s="50"/>
      <c r="J376" s="43"/>
    </row>
    <row r="377" spans="2:10" x14ac:dyDescent="0.4">
      <c r="B377" t="str">
        <f>IF(A377="","",A377+MAX(B$2:B376))</f>
        <v/>
      </c>
      <c r="E377" s="42"/>
      <c r="F377" s="32"/>
      <c r="H377" s="50"/>
      <c r="J377" s="43"/>
    </row>
    <row r="378" spans="2:10" x14ac:dyDescent="0.4">
      <c r="B378" t="str">
        <f>IF(A378="","",A378+MAX(B$2:B377))</f>
        <v/>
      </c>
      <c r="E378" s="42"/>
      <c r="F378" s="32"/>
      <c r="H378" s="50"/>
      <c r="J378" s="43"/>
    </row>
    <row r="379" spans="2:10" x14ac:dyDescent="0.4">
      <c r="B379" t="str">
        <f>IF(A379="","",A379+MAX(B$2:B378))</f>
        <v/>
      </c>
      <c r="E379" s="42"/>
      <c r="F379" s="32"/>
      <c r="H379" s="50"/>
      <c r="J379" s="43"/>
    </row>
    <row r="380" spans="2:10" x14ac:dyDescent="0.4">
      <c r="B380" t="str">
        <f>IF(A380="","",A380+MAX(B$2:B379))</f>
        <v/>
      </c>
      <c r="E380" s="42"/>
      <c r="F380" s="32"/>
      <c r="H380" s="50"/>
      <c r="J380" s="43"/>
    </row>
    <row r="381" spans="2:10" x14ac:dyDescent="0.4">
      <c r="B381" t="str">
        <f>IF(A381="","",A381+MAX(B$2:B380))</f>
        <v/>
      </c>
      <c r="E381" s="42"/>
      <c r="F381" s="32"/>
      <c r="H381" s="50"/>
      <c r="J381" s="43"/>
    </row>
    <row r="382" spans="2:10" x14ac:dyDescent="0.4">
      <c r="B382" t="str">
        <f>IF(A382="","",A382+MAX(B$2:B381))</f>
        <v/>
      </c>
      <c r="E382" s="42"/>
      <c r="F382" s="32"/>
      <c r="H382" s="50"/>
      <c r="J382" s="43"/>
    </row>
    <row r="383" spans="2:10" x14ac:dyDescent="0.4">
      <c r="B383" t="str">
        <f>IF(A383="","",A383+MAX(B$2:B382))</f>
        <v/>
      </c>
      <c r="E383" s="42"/>
      <c r="F383" s="32"/>
      <c r="H383" s="50"/>
      <c r="J383" s="43"/>
    </row>
    <row r="384" spans="2:10" x14ac:dyDescent="0.4">
      <c r="B384" t="str">
        <f>IF(A384="","",A384+MAX(B$2:B383))</f>
        <v/>
      </c>
      <c r="E384" s="42"/>
      <c r="F384" s="32"/>
      <c r="H384" s="50"/>
      <c r="J384" s="43"/>
    </row>
    <row r="385" spans="2:10" x14ac:dyDescent="0.4">
      <c r="B385" t="str">
        <f>IF(A385="","",A385+MAX(B$2:B384))</f>
        <v/>
      </c>
      <c r="E385" s="42"/>
      <c r="F385" s="32"/>
      <c r="H385" s="50"/>
      <c r="J385" s="43"/>
    </row>
    <row r="386" spans="2:10" x14ac:dyDescent="0.4">
      <c r="B386" t="str">
        <f>IF(A386="","",A386+MAX(B$2:B385))</f>
        <v/>
      </c>
      <c r="E386" s="42"/>
      <c r="F386" s="32"/>
      <c r="H386" s="50"/>
      <c r="J386" s="43"/>
    </row>
    <row r="387" spans="2:10" x14ac:dyDescent="0.4">
      <c r="B387" t="str">
        <f>IF(A387="","",A387+MAX(B$2:B386))</f>
        <v/>
      </c>
      <c r="E387" s="42"/>
      <c r="F387" s="32"/>
      <c r="H387" s="50"/>
      <c r="J387" s="43"/>
    </row>
    <row r="388" spans="2:10" x14ac:dyDescent="0.4">
      <c r="B388" t="str">
        <f>IF(A388="","",A388+MAX(B$2:B387))</f>
        <v/>
      </c>
      <c r="E388" s="42"/>
      <c r="F388" s="32"/>
      <c r="H388" s="50"/>
      <c r="J388" s="43"/>
    </row>
    <row r="389" spans="2:10" x14ac:dyDescent="0.4">
      <c r="B389" t="str">
        <f>IF(A389="","",A389+MAX(B$2:B388))</f>
        <v/>
      </c>
      <c r="E389" s="42"/>
      <c r="F389" s="32"/>
      <c r="H389" s="50"/>
      <c r="J389" s="43"/>
    </row>
    <row r="390" spans="2:10" x14ac:dyDescent="0.4">
      <c r="B390" t="str">
        <f>IF(A390="","",A390+MAX(B$2:B389))</f>
        <v/>
      </c>
      <c r="E390" s="42"/>
      <c r="F390" s="32"/>
      <c r="H390" s="50"/>
      <c r="J390" s="43"/>
    </row>
    <row r="391" spans="2:10" x14ac:dyDescent="0.4">
      <c r="B391" t="str">
        <f>IF(A391="","",A391+MAX(B$2:B390))</f>
        <v/>
      </c>
      <c r="E391" s="42"/>
      <c r="F391" s="32"/>
      <c r="H391" s="50"/>
      <c r="J391" s="43"/>
    </row>
    <row r="392" spans="2:10" x14ac:dyDescent="0.4">
      <c r="B392" t="str">
        <f>IF(A392="","",A392+MAX(B$2:B391))</f>
        <v/>
      </c>
      <c r="E392" s="42"/>
      <c r="F392" s="32"/>
      <c r="H392" s="50"/>
      <c r="J392" s="43"/>
    </row>
    <row r="393" spans="2:10" x14ac:dyDescent="0.4">
      <c r="B393" t="str">
        <f>IF(A393="","",A393+MAX(B$2:B392))</f>
        <v/>
      </c>
      <c r="E393" s="42"/>
      <c r="F393" s="32"/>
      <c r="H393" s="50"/>
      <c r="J393" s="43"/>
    </row>
    <row r="394" spans="2:10" x14ac:dyDescent="0.4">
      <c r="B394" t="str">
        <f>IF(A394="","",A394+MAX(B$2:B393))</f>
        <v/>
      </c>
      <c r="E394" s="42"/>
      <c r="F394" s="32"/>
      <c r="H394" s="50"/>
      <c r="J394" s="43"/>
    </row>
    <row r="395" spans="2:10" x14ac:dyDescent="0.4">
      <c r="B395" t="str">
        <f>IF(A395="","",A395+MAX(B$2:B394))</f>
        <v/>
      </c>
      <c r="E395" s="42"/>
      <c r="F395" s="32"/>
      <c r="H395" s="50"/>
      <c r="J395" s="43"/>
    </row>
    <row r="396" spans="2:10" x14ac:dyDescent="0.4">
      <c r="B396" t="str">
        <f>IF(A396="","",A396+MAX(B$2:B395))</f>
        <v/>
      </c>
      <c r="E396" s="42"/>
      <c r="F396" s="32"/>
      <c r="H396" s="50"/>
      <c r="J396" s="43"/>
    </row>
    <row r="397" spans="2:10" x14ac:dyDescent="0.4">
      <c r="B397" t="str">
        <f>IF(A397="","",A397+MAX(B$2:B396))</f>
        <v/>
      </c>
      <c r="E397" s="42"/>
      <c r="F397" s="32"/>
      <c r="H397" s="50"/>
      <c r="J397" s="43"/>
    </row>
    <row r="398" spans="2:10" x14ac:dyDescent="0.4">
      <c r="B398" t="str">
        <f>IF(A398="","",A398+MAX(B$2:B397))</f>
        <v/>
      </c>
      <c r="E398" s="42"/>
      <c r="F398" s="32"/>
      <c r="H398" s="50"/>
      <c r="J398" s="43"/>
    </row>
    <row r="399" spans="2:10" x14ac:dyDescent="0.4">
      <c r="B399" t="str">
        <f>IF(A399="","",A399+MAX(B$2:B398))</f>
        <v/>
      </c>
      <c r="E399" s="42"/>
      <c r="F399" s="32"/>
      <c r="H399" s="50"/>
      <c r="J399" s="43"/>
    </row>
    <row r="400" spans="2:10" x14ac:dyDescent="0.4">
      <c r="B400" t="str">
        <f>IF(A400="","",A400+MAX(B$2:B399))</f>
        <v/>
      </c>
      <c r="E400" s="42"/>
      <c r="F400" s="32"/>
      <c r="H400" s="50"/>
      <c r="J400" s="43"/>
    </row>
    <row r="401" spans="2:10" x14ac:dyDescent="0.4">
      <c r="B401" t="str">
        <f>IF(A401="","",A401+MAX(B$2:B400))</f>
        <v/>
      </c>
      <c r="E401" s="42"/>
      <c r="F401" s="32"/>
      <c r="H401" s="50"/>
      <c r="J401" s="43"/>
    </row>
    <row r="402" spans="2:10" x14ac:dyDescent="0.4">
      <c r="B402" t="str">
        <f>IF(A402="","",A402+MAX(B$2:B401))</f>
        <v/>
      </c>
      <c r="E402" s="42"/>
      <c r="F402" s="32"/>
      <c r="H402" s="50"/>
      <c r="J402" s="43"/>
    </row>
    <row r="403" spans="2:10" x14ac:dyDescent="0.4">
      <c r="B403" t="str">
        <f>IF(A403="","",A403+MAX(B$2:B402))</f>
        <v/>
      </c>
      <c r="E403" s="42"/>
      <c r="F403" s="32"/>
      <c r="H403" s="50"/>
      <c r="J403" s="43"/>
    </row>
    <row r="404" spans="2:10" x14ac:dyDescent="0.4">
      <c r="B404" t="str">
        <f>IF(A404="","",A404+MAX(B$2:B403))</f>
        <v/>
      </c>
      <c r="E404" s="42"/>
      <c r="F404" s="32"/>
      <c r="H404" s="50"/>
      <c r="J404" s="43"/>
    </row>
    <row r="405" spans="2:10" x14ac:dyDescent="0.4">
      <c r="B405" t="str">
        <f>IF(A405="","",A405+MAX(B$2:B404))</f>
        <v/>
      </c>
      <c r="E405" s="42"/>
      <c r="F405" s="32"/>
      <c r="H405" s="50"/>
      <c r="J405" s="43"/>
    </row>
    <row r="406" spans="2:10" x14ac:dyDescent="0.4">
      <c r="B406" t="str">
        <f>IF(A406="","",A406+MAX(B$2:B405))</f>
        <v/>
      </c>
      <c r="E406" s="42"/>
      <c r="F406" s="32"/>
      <c r="H406" s="50"/>
      <c r="J406" s="43"/>
    </row>
    <row r="407" spans="2:10" x14ac:dyDescent="0.4">
      <c r="B407" t="str">
        <f>IF(A407="","",A407+MAX(B$2:B406))</f>
        <v/>
      </c>
      <c r="E407" s="42"/>
      <c r="F407" s="32"/>
      <c r="H407" s="50"/>
      <c r="J407" s="43"/>
    </row>
    <row r="408" spans="2:10" x14ac:dyDescent="0.4">
      <c r="B408" t="str">
        <f>IF(A408="","",A408+MAX(B$2:B407))</f>
        <v/>
      </c>
      <c r="E408" s="42"/>
      <c r="F408" s="32"/>
      <c r="H408" s="50"/>
      <c r="J408" s="43"/>
    </row>
    <row r="409" spans="2:10" x14ac:dyDescent="0.4">
      <c r="B409" t="str">
        <f>IF(A409="","",A409+MAX(B$2:B408))</f>
        <v/>
      </c>
      <c r="E409" s="42"/>
      <c r="F409" s="32"/>
      <c r="H409" s="50"/>
      <c r="J409" s="43"/>
    </row>
    <row r="410" spans="2:10" x14ac:dyDescent="0.4">
      <c r="B410" t="str">
        <f>IF(A410="","",A410+MAX(B$2:B409))</f>
        <v/>
      </c>
      <c r="E410" s="42"/>
      <c r="F410" s="32"/>
      <c r="H410" s="50"/>
      <c r="J410" s="43"/>
    </row>
    <row r="411" spans="2:10" x14ac:dyDescent="0.4">
      <c r="B411" t="str">
        <f>IF(A411="","",A411+MAX(B$2:B410))</f>
        <v/>
      </c>
      <c r="E411" s="42"/>
      <c r="F411" s="32"/>
      <c r="H411" s="50"/>
      <c r="J411" s="43"/>
    </row>
    <row r="412" spans="2:10" x14ac:dyDescent="0.4">
      <c r="B412" t="str">
        <f>IF(A412="","",A412+MAX(B$2:B411))</f>
        <v/>
      </c>
      <c r="E412" s="42"/>
      <c r="F412" s="32"/>
      <c r="H412" s="50"/>
      <c r="J412" s="43"/>
    </row>
    <row r="413" spans="2:10" x14ac:dyDescent="0.4">
      <c r="B413" t="str">
        <f>IF(A413="","",A413+MAX(B$2:B412))</f>
        <v/>
      </c>
      <c r="E413" s="42"/>
      <c r="F413" s="32"/>
      <c r="H413" s="50"/>
      <c r="J413" s="43"/>
    </row>
    <row r="414" spans="2:10" x14ac:dyDescent="0.4">
      <c r="B414" t="str">
        <f>IF(A414="","",A414+MAX(B$2:B413))</f>
        <v/>
      </c>
      <c r="E414" s="42"/>
      <c r="F414" s="32"/>
      <c r="H414" s="50"/>
      <c r="J414" s="43"/>
    </row>
    <row r="415" spans="2:10" x14ac:dyDescent="0.4">
      <c r="B415" t="str">
        <f>IF(A415="","",A415+MAX(B$2:B414))</f>
        <v/>
      </c>
      <c r="E415" s="42"/>
      <c r="F415" s="32"/>
      <c r="H415" s="50"/>
      <c r="J415" s="43"/>
    </row>
    <row r="416" spans="2:10" x14ac:dyDescent="0.4">
      <c r="B416" t="str">
        <f>IF(A416="","",A416+MAX(B$2:B415))</f>
        <v/>
      </c>
      <c r="E416" s="42"/>
      <c r="F416" s="32"/>
      <c r="H416" s="50"/>
      <c r="J416" s="43"/>
    </row>
    <row r="417" spans="2:10" x14ac:dyDescent="0.4">
      <c r="B417" t="str">
        <f>IF(A417="","",A417+MAX(B$2:B416))</f>
        <v/>
      </c>
      <c r="E417" s="42"/>
      <c r="F417" s="32"/>
      <c r="H417" s="50"/>
      <c r="J417" s="43"/>
    </row>
    <row r="418" spans="2:10" x14ac:dyDescent="0.4">
      <c r="B418" t="str">
        <f>IF(A418="","",A418+MAX(B$2:B417))</f>
        <v/>
      </c>
      <c r="E418" s="42"/>
      <c r="F418" s="32"/>
      <c r="H418" s="50"/>
      <c r="J418" s="43"/>
    </row>
    <row r="419" spans="2:10" x14ac:dyDescent="0.4">
      <c r="B419" t="str">
        <f>IF(A419="","",A419+MAX(B$2:B418))</f>
        <v/>
      </c>
      <c r="E419" s="42"/>
      <c r="F419" s="32"/>
      <c r="H419" s="50"/>
      <c r="J419" s="43"/>
    </row>
    <row r="420" spans="2:10" x14ac:dyDescent="0.4">
      <c r="B420" t="str">
        <f>IF(A420="","",A420+MAX(B$2:B419))</f>
        <v/>
      </c>
      <c r="E420" s="42"/>
      <c r="F420" s="32"/>
      <c r="H420" s="50"/>
      <c r="J420" s="43"/>
    </row>
    <row r="421" spans="2:10" x14ac:dyDescent="0.4">
      <c r="B421" t="str">
        <f>IF(A421="","",A421+MAX(B$2:B420))</f>
        <v/>
      </c>
      <c r="E421" s="42"/>
      <c r="F421" s="32"/>
      <c r="H421" s="50"/>
      <c r="J421" s="43"/>
    </row>
    <row r="422" spans="2:10" x14ac:dyDescent="0.4">
      <c r="B422" t="str">
        <f>IF(A422="","",A422+MAX(B$2:B421))</f>
        <v/>
      </c>
      <c r="E422" s="42"/>
      <c r="F422" s="32"/>
      <c r="H422" s="50"/>
      <c r="J422" s="43"/>
    </row>
    <row r="423" spans="2:10" x14ac:dyDescent="0.4">
      <c r="B423" t="str">
        <f>IF(A423="","",A423+MAX(B$2:B422))</f>
        <v/>
      </c>
      <c r="E423" s="42"/>
      <c r="F423" s="32"/>
      <c r="H423" s="50"/>
      <c r="J423" s="43"/>
    </row>
    <row r="424" spans="2:10" x14ac:dyDescent="0.4">
      <c r="B424" t="str">
        <f>IF(A424="","",A424+MAX(B$2:B423))</f>
        <v/>
      </c>
      <c r="E424" s="42"/>
      <c r="F424" s="32"/>
      <c r="H424" s="50"/>
      <c r="J424" s="43"/>
    </row>
    <row r="425" spans="2:10" x14ac:dyDescent="0.4">
      <c r="B425" t="str">
        <f>IF(A425="","",A425+MAX(B$2:B424))</f>
        <v/>
      </c>
      <c r="E425" s="42"/>
      <c r="F425" s="32"/>
      <c r="H425" s="50"/>
      <c r="J425" s="43"/>
    </row>
    <row r="426" spans="2:10" x14ac:dyDescent="0.4">
      <c r="B426" t="str">
        <f>IF(A426="","",A426+MAX(B$2:B425))</f>
        <v/>
      </c>
      <c r="E426" s="42"/>
      <c r="F426" s="32"/>
      <c r="H426" s="50"/>
      <c r="J426" s="43"/>
    </row>
    <row r="427" spans="2:10" x14ac:dyDescent="0.4">
      <c r="B427" t="str">
        <f>IF(A427="","",A427+MAX(B$2:B426))</f>
        <v/>
      </c>
      <c r="E427" s="42"/>
      <c r="F427" s="32"/>
      <c r="H427" s="50"/>
      <c r="J427" s="43"/>
    </row>
    <row r="428" spans="2:10" x14ac:dyDescent="0.4">
      <c r="B428" t="str">
        <f>IF(A428="","",A428+MAX(B$2:B427))</f>
        <v/>
      </c>
      <c r="E428" s="42"/>
      <c r="F428" s="32"/>
      <c r="H428" s="50"/>
      <c r="J428" s="43"/>
    </row>
    <row r="429" spans="2:10" x14ac:dyDescent="0.4">
      <c r="B429" t="str">
        <f>IF(A429="","",A429+MAX(B$2:B428))</f>
        <v/>
      </c>
      <c r="E429" s="42"/>
      <c r="F429" s="32"/>
      <c r="H429" s="50"/>
      <c r="J429" s="43"/>
    </row>
    <row r="430" spans="2:10" x14ac:dyDescent="0.4">
      <c r="B430" t="str">
        <f>IF(A430="","",A430+MAX(B$2:B429))</f>
        <v/>
      </c>
      <c r="E430" s="42"/>
      <c r="F430" s="32"/>
      <c r="H430" s="50"/>
      <c r="J430" s="43"/>
    </row>
    <row r="431" spans="2:10" x14ac:dyDescent="0.4">
      <c r="B431" t="str">
        <f>IF(A431="","",A431+MAX(B$2:B430))</f>
        <v/>
      </c>
      <c r="E431" s="42"/>
      <c r="F431" s="32"/>
      <c r="H431" s="50"/>
      <c r="J431" s="43"/>
    </row>
    <row r="432" spans="2:10" x14ac:dyDescent="0.4">
      <c r="B432" t="str">
        <f>IF(A432="","",A432+MAX(B$2:B431))</f>
        <v/>
      </c>
      <c r="E432" s="42"/>
      <c r="F432" s="32"/>
      <c r="H432" s="50"/>
      <c r="J432" s="43"/>
    </row>
    <row r="433" spans="2:10" x14ac:dyDescent="0.4">
      <c r="B433" t="str">
        <f>IF(A433="","",A433+MAX(B$2:B432))</f>
        <v/>
      </c>
      <c r="E433" s="42"/>
      <c r="F433" s="32"/>
      <c r="H433" s="50"/>
      <c r="J433" s="43"/>
    </row>
    <row r="434" spans="2:10" x14ac:dyDescent="0.4">
      <c r="B434" t="str">
        <f>IF(A434="","",A434+MAX(B$2:B433))</f>
        <v/>
      </c>
      <c r="E434" s="42"/>
      <c r="F434" s="32"/>
      <c r="H434" s="50"/>
      <c r="J434" s="43"/>
    </row>
    <row r="435" spans="2:10" x14ac:dyDescent="0.4">
      <c r="B435" t="str">
        <f>IF(A435="","",A435+MAX(B$2:B434))</f>
        <v/>
      </c>
      <c r="E435" s="42"/>
      <c r="F435" s="32"/>
      <c r="H435" s="50"/>
      <c r="J435" s="43"/>
    </row>
    <row r="436" spans="2:10" x14ac:dyDescent="0.4">
      <c r="B436" t="str">
        <f>IF(A436="","",A436+MAX(B$2:B435))</f>
        <v/>
      </c>
      <c r="E436" s="42"/>
      <c r="F436" s="32"/>
      <c r="H436" s="50"/>
      <c r="J436" s="43"/>
    </row>
    <row r="437" spans="2:10" x14ac:dyDescent="0.4">
      <c r="B437" t="str">
        <f>IF(A437="","",A437+MAX(B$2:B436))</f>
        <v/>
      </c>
      <c r="E437" s="42"/>
      <c r="F437" s="32"/>
      <c r="H437" s="50"/>
      <c r="J437" s="43"/>
    </row>
    <row r="438" spans="2:10" x14ac:dyDescent="0.4">
      <c r="B438" t="str">
        <f>IF(A438="","",A438+MAX(B$2:B437))</f>
        <v/>
      </c>
      <c r="E438" s="42"/>
      <c r="F438" s="32"/>
      <c r="H438" s="50"/>
      <c r="J438" s="43"/>
    </row>
    <row r="439" spans="2:10" x14ac:dyDescent="0.4">
      <c r="B439" t="str">
        <f>IF(A439="","",A439+MAX(B$2:B438))</f>
        <v/>
      </c>
      <c r="E439" s="42"/>
      <c r="F439" s="32"/>
      <c r="H439" s="50"/>
      <c r="J439" s="43"/>
    </row>
    <row r="440" spans="2:10" x14ac:dyDescent="0.4">
      <c r="B440" t="str">
        <f>IF(A440="","",A440+MAX(B$2:B439))</f>
        <v/>
      </c>
      <c r="E440" s="42"/>
      <c r="F440" s="32"/>
      <c r="H440" s="50"/>
      <c r="J440" s="43"/>
    </row>
    <row r="441" spans="2:10" x14ac:dyDescent="0.4">
      <c r="B441" t="str">
        <f>IF(A441="","",A441+MAX(B$2:B440))</f>
        <v/>
      </c>
      <c r="E441" s="42"/>
      <c r="F441" s="32"/>
      <c r="H441" s="50"/>
      <c r="J441" s="43"/>
    </row>
    <row r="442" spans="2:10" x14ac:dyDescent="0.4">
      <c r="B442" t="str">
        <f>IF(A442="","",A442+MAX(B$2:B441))</f>
        <v/>
      </c>
      <c r="E442" s="42"/>
      <c r="F442" s="32"/>
      <c r="H442" s="50"/>
      <c r="J442" s="43"/>
    </row>
    <row r="443" spans="2:10" x14ac:dyDescent="0.4">
      <c r="B443" t="str">
        <f>IF(A443="","",A443+MAX(B$2:B442))</f>
        <v/>
      </c>
      <c r="E443" s="42"/>
      <c r="F443" s="32"/>
      <c r="H443" s="50"/>
      <c r="J443" s="43"/>
    </row>
    <row r="444" spans="2:10" x14ac:dyDescent="0.4">
      <c r="B444" t="str">
        <f>IF(A444="","",A444+MAX(B$2:B443))</f>
        <v/>
      </c>
      <c r="E444" s="42"/>
      <c r="F444" s="32"/>
      <c r="H444" s="50"/>
      <c r="J444" s="43"/>
    </row>
    <row r="445" spans="2:10" x14ac:dyDescent="0.4">
      <c r="B445" t="str">
        <f>IF(A445="","",A445+MAX(B$2:B444))</f>
        <v/>
      </c>
      <c r="E445" s="42"/>
      <c r="F445" s="32"/>
      <c r="H445" s="50"/>
      <c r="J445" s="43"/>
    </row>
    <row r="446" spans="2:10" x14ac:dyDescent="0.4">
      <c r="B446" t="str">
        <f>IF(A446="","",A446+MAX(B$2:B445))</f>
        <v/>
      </c>
      <c r="E446" s="42"/>
      <c r="F446" s="32"/>
      <c r="H446" s="50"/>
      <c r="J446" s="43"/>
    </row>
    <row r="447" spans="2:10" x14ac:dyDescent="0.4">
      <c r="B447" t="str">
        <f>IF(A447="","",A447+MAX(B$2:B446))</f>
        <v/>
      </c>
      <c r="E447" s="42"/>
      <c r="F447" s="32"/>
      <c r="H447" s="50"/>
      <c r="J447" s="43"/>
    </row>
    <row r="448" spans="2:10" x14ac:dyDescent="0.4">
      <c r="B448" t="str">
        <f>IF(A448="","",A448+MAX(B$2:B447))</f>
        <v/>
      </c>
      <c r="E448" s="42"/>
      <c r="F448" s="32"/>
      <c r="H448" s="50"/>
      <c r="J448" s="43"/>
    </row>
    <row r="449" spans="2:10" x14ac:dyDescent="0.4">
      <c r="B449" t="str">
        <f>IF(A449="","",A449+MAX(B$2:B448))</f>
        <v/>
      </c>
      <c r="E449" s="42"/>
      <c r="F449" s="32"/>
      <c r="H449" s="50"/>
      <c r="J449" s="43"/>
    </row>
    <row r="450" spans="2:10" x14ac:dyDescent="0.4">
      <c r="B450" t="str">
        <f>IF(A450="","",A450+MAX(B$2:B449))</f>
        <v/>
      </c>
      <c r="E450" s="42"/>
      <c r="F450" s="32"/>
      <c r="H450" s="50"/>
      <c r="J450" s="43"/>
    </row>
    <row r="451" spans="2:10" x14ac:dyDescent="0.4">
      <c r="B451" t="str">
        <f>IF(A451="","",A451+MAX(B$2:B450))</f>
        <v/>
      </c>
      <c r="E451" s="42"/>
      <c r="F451" s="32"/>
      <c r="H451" s="50"/>
      <c r="J451" s="43"/>
    </row>
    <row r="452" spans="2:10" x14ac:dyDescent="0.4">
      <c r="B452" t="str">
        <f>IF(A452="","",A452+MAX(B$2:B451))</f>
        <v/>
      </c>
      <c r="E452" s="42"/>
      <c r="F452" s="32"/>
      <c r="H452" s="50"/>
      <c r="J452" s="43"/>
    </row>
    <row r="453" spans="2:10" x14ac:dyDescent="0.4">
      <c r="B453" t="str">
        <f>IF(A453="","",A453+MAX(B$2:B452))</f>
        <v/>
      </c>
      <c r="E453" s="42"/>
      <c r="F453" s="32"/>
      <c r="H453" s="50"/>
      <c r="J453" s="43"/>
    </row>
    <row r="454" spans="2:10" x14ac:dyDescent="0.4">
      <c r="B454" t="str">
        <f>IF(A454="","",A454+MAX(B$2:B453))</f>
        <v/>
      </c>
      <c r="E454" s="42"/>
      <c r="F454" s="32"/>
      <c r="H454" s="50"/>
      <c r="J454" s="43"/>
    </row>
    <row r="455" spans="2:10" x14ac:dyDescent="0.4">
      <c r="B455" t="str">
        <f>IF(A455="","",A455+MAX(B$2:B454))</f>
        <v/>
      </c>
      <c r="E455" s="42"/>
      <c r="F455" s="32"/>
      <c r="H455" s="50"/>
      <c r="J455" s="43"/>
    </row>
    <row r="456" spans="2:10" x14ac:dyDescent="0.4">
      <c r="B456" t="str">
        <f>IF(A456="","",A456+MAX(B$2:B455))</f>
        <v/>
      </c>
      <c r="E456" s="42"/>
      <c r="F456" s="32"/>
      <c r="H456" s="50"/>
      <c r="J456" s="43"/>
    </row>
    <row r="457" spans="2:10" x14ac:dyDescent="0.4">
      <c r="B457" t="str">
        <f>IF(A457="","",A457+MAX(B$2:B456))</f>
        <v/>
      </c>
      <c r="E457" s="42"/>
      <c r="F457" s="32"/>
      <c r="H457" s="50"/>
      <c r="J457" s="43"/>
    </row>
    <row r="458" spans="2:10" x14ac:dyDescent="0.4">
      <c r="B458" t="str">
        <f>IF(A458="","",A458+MAX(B$2:B457))</f>
        <v/>
      </c>
      <c r="E458" s="42"/>
      <c r="F458" s="32"/>
      <c r="H458" s="50"/>
      <c r="J458" s="43"/>
    </row>
    <row r="459" spans="2:10" x14ac:dyDescent="0.4">
      <c r="B459" t="str">
        <f>IF(A459="","",A459+MAX(B$2:B458))</f>
        <v/>
      </c>
      <c r="E459" s="42"/>
      <c r="F459" s="32"/>
      <c r="H459" s="50"/>
      <c r="J459" s="43"/>
    </row>
    <row r="460" spans="2:10" x14ac:dyDescent="0.4">
      <c r="B460" t="str">
        <f>IF(A460="","",A460+MAX(B$2:B459))</f>
        <v/>
      </c>
      <c r="E460" s="42"/>
      <c r="F460" s="32"/>
      <c r="H460" s="50"/>
      <c r="J460" s="43"/>
    </row>
    <row r="461" spans="2:10" x14ac:dyDescent="0.4">
      <c r="B461" t="str">
        <f>IF(A461="","",A461+MAX(B$2:B460))</f>
        <v/>
      </c>
      <c r="E461" s="42"/>
      <c r="F461" s="32"/>
      <c r="H461" s="50"/>
      <c r="J461" s="43"/>
    </row>
    <row r="462" spans="2:10" x14ac:dyDescent="0.4">
      <c r="B462" t="str">
        <f>IF(A462="","",A462+MAX(B$2:B461))</f>
        <v/>
      </c>
      <c r="E462" s="42"/>
      <c r="F462" s="32"/>
      <c r="H462" s="50"/>
      <c r="J462" s="43"/>
    </row>
    <row r="463" spans="2:10" x14ac:dyDescent="0.4">
      <c r="B463" t="str">
        <f>IF(A463="","",A463+MAX(B$2:B462))</f>
        <v/>
      </c>
      <c r="E463" s="42"/>
      <c r="F463" s="32"/>
      <c r="H463" s="50"/>
      <c r="J463" s="43"/>
    </row>
    <row r="464" spans="2:10" x14ac:dyDescent="0.4">
      <c r="B464" t="str">
        <f>IF(A464="","",A464+MAX(B$2:B463))</f>
        <v/>
      </c>
      <c r="E464" s="42"/>
      <c r="F464" s="32"/>
      <c r="H464" s="50"/>
      <c r="J464" s="43"/>
    </row>
    <row r="465" spans="2:10" x14ac:dyDescent="0.4">
      <c r="B465" t="str">
        <f>IF(A465="","",A465+MAX(B$2:B464))</f>
        <v/>
      </c>
      <c r="E465" s="42"/>
      <c r="F465" s="32"/>
      <c r="H465" s="50"/>
      <c r="J465" s="43"/>
    </row>
    <row r="466" spans="2:10" x14ac:dyDescent="0.4">
      <c r="B466" t="str">
        <f>IF(A466="","",A466+MAX(B$2:B465))</f>
        <v/>
      </c>
      <c r="E466" s="42"/>
      <c r="F466" s="32"/>
      <c r="H466" s="50"/>
      <c r="J466" s="43"/>
    </row>
    <row r="467" spans="2:10" x14ac:dyDescent="0.4">
      <c r="B467" t="str">
        <f>IF(A467="","",A467+MAX(B$2:B466))</f>
        <v/>
      </c>
      <c r="E467" s="42"/>
      <c r="F467" s="32"/>
      <c r="H467" s="50"/>
      <c r="J467" s="43"/>
    </row>
    <row r="468" spans="2:10" x14ac:dyDescent="0.4">
      <c r="B468" t="str">
        <f>IF(A468="","",A468+MAX(B$2:B467))</f>
        <v/>
      </c>
      <c r="E468" s="42"/>
      <c r="F468" s="32"/>
      <c r="H468" s="50"/>
      <c r="J468" s="43"/>
    </row>
    <row r="469" spans="2:10" x14ac:dyDescent="0.4">
      <c r="B469" t="str">
        <f>IF(A469="","",A469+MAX(B$2:B468))</f>
        <v/>
      </c>
      <c r="E469" s="42"/>
      <c r="F469" s="32"/>
      <c r="H469" s="50"/>
      <c r="J469" s="43"/>
    </row>
    <row r="470" spans="2:10" x14ac:dyDescent="0.4">
      <c r="B470" t="str">
        <f>IF(A470="","",A470+MAX(B$2:B469))</f>
        <v/>
      </c>
      <c r="E470" s="42"/>
      <c r="F470" s="32"/>
      <c r="H470" s="50"/>
      <c r="J470" s="43"/>
    </row>
    <row r="471" spans="2:10" x14ac:dyDescent="0.4">
      <c r="B471" t="str">
        <f>IF(A471="","",A471+MAX(B$2:B470))</f>
        <v/>
      </c>
      <c r="E471" s="42"/>
      <c r="F471" s="32"/>
      <c r="H471" s="50"/>
      <c r="J471" s="43"/>
    </row>
    <row r="472" spans="2:10" x14ac:dyDescent="0.4">
      <c r="B472" t="str">
        <f>IF(A472="","",A472+MAX(B$2:B471))</f>
        <v/>
      </c>
      <c r="E472" s="42"/>
      <c r="F472" s="32"/>
      <c r="H472" s="50"/>
      <c r="J472" s="43"/>
    </row>
    <row r="473" spans="2:10" x14ac:dyDescent="0.4">
      <c r="B473" t="str">
        <f>IF(A473="","",A473+MAX(B$2:B472))</f>
        <v/>
      </c>
      <c r="E473" s="42"/>
      <c r="F473" s="32"/>
      <c r="H473" s="50"/>
      <c r="J473" s="43"/>
    </row>
    <row r="474" spans="2:10" x14ac:dyDescent="0.4">
      <c r="B474" t="str">
        <f>IF(A474="","",A474+MAX(B$2:B473))</f>
        <v/>
      </c>
      <c r="E474" s="42"/>
      <c r="F474" s="32"/>
      <c r="H474" s="50"/>
      <c r="J474" s="43"/>
    </row>
    <row r="475" spans="2:10" x14ac:dyDescent="0.4">
      <c r="B475" t="str">
        <f>IF(A475="","",A475+MAX(B$2:B474))</f>
        <v/>
      </c>
      <c r="E475" s="42"/>
      <c r="F475" s="32"/>
      <c r="H475" s="50"/>
      <c r="J475" s="43"/>
    </row>
    <row r="476" spans="2:10" x14ac:dyDescent="0.4">
      <c r="B476" t="str">
        <f>IF(A476="","",A476+MAX(B$2:B475))</f>
        <v/>
      </c>
      <c r="E476" s="42"/>
      <c r="F476" s="32"/>
      <c r="H476" s="50"/>
      <c r="J476" s="43"/>
    </row>
    <row r="477" spans="2:10" x14ac:dyDescent="0.4">
      <c r="B477" t="str">
        <f>IF(A477="","",A477+MAX(B$2:B476))</f>
        <v/>
      </c>
      <c r="E477" s="42"/>
      <c r="F477" s="32"/>
      <c r="H477" s="50"/>
      <c r="J477" s="43"/>
    </row>
    <row r="478" spans="2:10" x14ac:dyDescent="0.4">
      <c r="B478" t="str">
        <f>IF(A478="","",A478+MAX(B$2:B477))</f>
        <v/>
      </c>
      <c r="E478" s="42"/>
      <c r="F478" s="32"/>
      <c r="H478" s="50"/>
      <c r="J478" s="43"/>
    </row>
    <row r="479" spans="2:10" x14ac:dyDescent="0.4">
      <c r="B479" t="str">
        <f>IF(A479="","",A479+MAX(B$2:B478))</f>
        <v/>
      </c>
      <c r="E479" s="42"/>
      <c r="F479" s="32"/>
      <c r="H479" s="50"/>
      <c r="J479" s="43"/>
    </row>
    <row r="480" spans="2:10" x14ac:dyDescent="0.4">
      <c r="B480" t="str">
        <f>IF(A480="","",A480+MAX(B$2:B479))</f>
        <v/>
      </c>
      <c r="E480" s="42"/>
      <c r="F480" s="32"/>
      <c r="H480" s="50"/>
      <c r="J480" s="4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4C3C3-65D6-476B-9D2A-738871E5835F}">
  <sheetPr codeName="Sheet4"/>
  <dimension ref="A1:W46"/>
  <sheetViews>
    <sheetView showGridLines="0" tabSelected="1" workbookViewId="0">
      <selection activeCell="E18" sqref="E18"/>
    </sheetView>
  </sheetViews>
  <sheetFormatPr defaultRowHeight="12.45" x14ac:dyDescent="0.3"/>
  <cols>
    <col min="2" max="2" width="22.07421875" bestFit="1" customWidth="1"/>
    <col min="4" max="4" width="6.07421875" bestFit="1" customWidth="1"/>
    <col min="5" max="5" width="10.69140625" bestFit="1" customWidth="1"/>
    <col min="9" max="10" width="0" hidden="1" customWidth="1"/>
    <col min="12" max="12" width="12.07421875" customWidth="1"/>
    <col min="15" max="16" width="9.3046875" customWidth="1"/>
  </cols>
  <sheetData>
    <row r="1" spans="1:23" x14ac:dyDescent="0.3">
      <c r="T1">
        <f>COUNTIF(C5:C15,"&lt;0")</f>
        <v>0</v>
      </c>
    </row>
    <row r="2" spans="1:23" ht="24.9" x14ac:dyDescent="0.3">
      <c r="A2" t="s">
        <v>87</v>
      </c>
      <c r="C2" s="36" t="s">
        <v>88</v>
      </c>
      <c r="D2" s="36" t="s">
        <v>28</v>
      </c>
      <c r="E2" s="36" t="s">
        <v>89</v>
      </c>
      <c r="F2" s="36" t="s">
        <v>90</v>
      </c>
      <c r="G2" s="36" t="s">
        <v>120</v>
      </c>
      <c r="H2" s="36" t="s">
        <v>30</v>
      </c>
      <c r="I2" s="40" t="s">
        <v>31</v>
      </c>
      <c r="J2" s="40" t="s">
        <v>91</v>
      </c>
      <c r="K2" s="40" t="s">
        <v>92</v>
      </c>
      <c r="L2" s="40" t="s">
        <v>121</v>
      </c>
    </row>
    <row r="3" spans="1:23" x14ac:dyDescent="0.3">
      <c r="A3" t="s">
        <v>6</v>
      </c>
      <c r="C3" s="35">
        <f>SUM(C5:C15)</f>
        <v>0</v>
      </c>
      <c r="D3" s="36"/>
      <c r="E3" s="36"/>
      <c r="F3" s="37">
        <f>SUMPRODUCT($C5:$C15,F5:F15)</f>
        <v>0</v>
      </c>
      <c r="G3" s="36"/>
      <c r="H3" s="37">
        <f>SUMPRODUCT($C5:$C15,H5:H15)</f>
        <v>0</v>
      </c>
      <c r="I3" s="37"/>
      <c r="J3" s="37"/>
      <c r="K3" s="37"/>
      <c r="L3" s="37"/>
      <c r="N3" t="s">
        <v>30</v>
      </c>
      <c r="U3" t="s">
        <v>28</v>
      </c>
      <c r="V3" s="36" t="s">
        <v>93</v>
      </c>
      <c r="W3" s="36" t="s">
        <v>94</v>
      </c>
    </row>
    <row r="4" spans="1:23" x14ac:dyDescent="0.3">
      <c r="C4" s="36"/>
      <c r="D4" s="36"/>
      <c r="E4" s="36"/>
      <c r="F4" s="36"/>
      <c r="G4" s="36"/>
      <c r="H4" s="36"/>
      <c r="I4" s="36"/>
      <c r="J4" s="36"/>
      <c r="K4" s="36"/>
      <c r="L4" s="36"/>
      <c r="M4" t="s">
        <v>95</v>
      </c>
      <c r="O4" s="36" t="s">
        <v>93</v>
      </c>
      <c r="P4" s="36" t="s">
        <v>94</v>
      </c>
      <c r="U4" t="s">
        <v>41</v>
      </c>
      <c r="V4" s="45">
        <f t="shared" ref="V4:V9" si="0">SUMIF(D:D,U4,C:C)</f>
        <v>0</v>
      </c>
      <c r="W4" s="45">
        <f>SUMIF(Benchmark!G:G,U4,Benchmark!H:H)</f>
        <v>0.49809952339747948</v>
      </c>
    </row>
    <row r="5" spans="1:23" x14ac:dyDescent="0.3">
      <c r="A5" s="31"/>
      <c r="B5" s="31" t="s">
        <v>96</v>
      </c>
      <c r="C5" s="63"/>
      <c r="D5" s="31" t="s">
        <v>97</v>
      </c>
      <c r="E5" s="31" t="s">
        <v>97</v>
      </c>
      <c r="F5" s="37">
        <v>0</v>
      </c>
      <c r="G5" s="37">
        <f t="shared" ref="G5:G15" si="1">IFERROR(F5*C5,"")</f>
        <v>0</v>
      </c>
      <c r="H5" s="37">
        <v>0</v>
      </c>
      <c r="I5" s="37">
        <f t="shared" ref="I5:I15" si="2">IFERROR(C5*H5,"")</f>
        <v>0</v>
      </c>
      <c r="J5" s="37">
        <f>_xlfn.XLOOKUP($A5,Benchmark!$B:$B,Benchmark!F:F,"")</f>
        <v>45565</v>
      </c>
      <c r="K5" s="36" t="s">
        <v>17</v>
      </c>
      <c r="L5" s="37">
        <v>0</v>
      </c>
      <c r="U5" t="s">
        <v>64</v>
      </c>
      <c r="V5" s="45">
        <f t="shared" si="0"/>
        <v>0</v>
      </c>
      <c r="W5" s="45">
        <f>SUMIF(Benchmark!G:G,U5,Benchmark!H:H)</f>
        <v>0.10978113857694902</v>
      </c>
    </row>
    <row r="6" spans="1:23" x14ac:dyDescent="0.3">
      <c r="A6" s="31">
        <v>1</v>
      </c>
      <c r="B6" s="31" t="str">
        <f>IF(ISNA(MATCH($A6,Benchmark!$B:$B,0)),"",INDEX(Benchmark!C:C,MATCH($A6,Benchmark!$B:$B,0)))</f>
        <v/>
      </c>
      <c r="C6" s="63"/>
      <c r="D6" s="31" t="str">
        <f>IF(B6="","",INDEX(Benchmark!G:G,MATCH($A6,Benchmark!$B:$B,0)))</f>
        <v/>
      </c>
      <c r="E6" s="31" t="str">
        <f>IF(B6="","",INDEX(Benchmark!D:D,MATCH($A6,Benchmark!$B:$B,0)))</f>
        <v/>
      </c>
      <c r="F6" s="37" t="str">
        <f>IF(B6="","",INDEX(Benchmark!Q:Q,MATCH($A6,Benchmark!$B:$B,0)))</f>
        <v/>
      </c>
      <c r="G6" s="37" t="str">
        <f t="shared" si="1"/>
        <v/>
      </c>
      <c r="H6" s="37" t="str">
        <f>IF(B6="","",INDEX(Benchmark!I:I,MATCH($A6,Benchmark!$B:$B,0)))</f>
        <v/>
      </c>
      <c r="I6" s="37" t="str">
        <f t="shared" si="2"/>
        <v/>
      </c>
      <c r="J6" s="37" t="str">
        <f>_xlfn.XLOOKUP($A6,Benchmark!$B:$B,Benchmark!F:F,"")</f>
        <v/>
      </c>
      <c r="K6" s="37" t="str">
        <f>IF(B6="","",INDEX(Benchmark!N:N,MATCH($A6,Benchmark!$B:$B,0)))</f>
        <v/>
      </c>
      <c r="L6" s="37" t="str">
        <f>IF(B6="","",INDEX(Benchmark!Q:Q,MATCH($B6,Benchmark!$C:$C,0)))</f>
        <v/>
      </c>
      <c r="M6" t="s">
        <v>98</v>
      </c>
      <c r="N6" s="36"/>
      <c r="O6" s="37">
        <f>H3</f>
        <v>0</v>
      </c>
      <c r="P6" s="37">
        <f>Benchmark!I1</f>
        <v>1.8201379854865034</v>
      </c>
      <c r="U6" t="s">
        <v>60</v>
      </c>
      <c r="V6" s="45">
        <f t="shared" si="0"/>
        <v>0</v>
      </c>
      <c r="W6" s="45">
        <f>SUMIF(Benchmark!G:G,U6,Benchmark!H:H)</f>
        <v>0.21408154249207573</v>
      </c>
    </row>
    <row r="7" spans="1:23" x14ac:dyDescent="0.3">
      <c r="A7" s="31">
        <v>2</v>
      </c>
      <c r="B7" s="31" t="str">
        <f>IF(ISNA(MATCH($A7,Benchmark!$B:$B,0)),"",INDEX(Benchmark!C:C,MATCH($A7,Benchmark!$B:$B,0)))</f>
        <v/>
      </c>
      <c r="C7" s="63"/>
      <c r="D7" s="31" t="str">
        <f>IF(B7="","",INDEX(Benchmark!G:G,MATCH($A7,Benchmark!$B:$B,0)))</f>
        <v/>
      </c>
      <c r="E7" s="31" t="str">
        <f>IF(B7="","",INDEX(Benchmark!D:D,MATCH($A7,Benchmark!$B:$B,0)))</f>
        <v/>
      </c>
      <c r="F7" s="37" t="str">
        <f>IF(B7="","",INDEX(Benchmark!Q:Q,MATCH($A7,Benchmark!$B:$B,0)))</f>
        <v/>
      </c>
      <c r="G7" s="37" t="str">
        <f t="shared" si="1"/>
        <v/>
      </c>
      <c r="H7" s="37" t="str">
        <f>IF(B7="","",INDEX(Benchmark!I:I,MATCH($A7,Benchmark!$B:$B,0)))</f>
        <v/>
      </c>
      <c r="I7" s="37" t="str">
        <f t="shared" si="2"/>
        <v/>
      </c>
      <c r="J7" s="37" t="str">
        <f>_xlfn.XLOOKUP($A7,Benchmark!$B:$B,Benchmark!F:F,"")</f>
        <v/>
      </c>
      <c r="K7" s="37" t="str">
        <f>IF(B7="","",INDEX(Benchmark!N:N,MATCH($A7,Benchmark!$B:$B,0)))</f>
        <v/>
      </c>
      <c r="L7" s="37" t="str">
        <f>IF(B7="","",INDEX(Benchmark!Q:Q,MATCH($B7,Benchmark!$C:$C,0)))</f>
        <v/>
      </c>
      <c r="M7" s="44" t="s">
        <v>99</v>
      </c>
      <c r="N7" s="36">
        <v>1</v>
      </c>
      <c r="O7" s="37">
        <f>SUMIFS(I:I,J:J,"&lt;="&amp;N7)</f>
        <v>0</v>
      </c>
      <c r="P7" s="37">
        <f>SUMIFS(Benchmark!J:J,Benchmark!F:F,"&lt;="&amp;N7)</f>
        <v>3.5399167122983438E-2</v>
      </c>
      <c r="U7" t="s">
        <v>57</v>
      </c>
      <c r="V7" s="45">
        <f t="shared" si="0"/>
        <v>0</v>
      </c>
      <c r="W7" s="45">
        <f>SUMIF(Benchmark!G:G,U7,Benchmark!H:H)</f>
        <v>0.17803779553349569</v>
      </c>
    </row>
    <row r="8" spans="1:23" x14ac:dyDescent="0.3">
      <c r="A8" s="31">
        <v>3</v>
      </c>
      <c r="B8" s="31" t="str">
        <f>IF(ISNA(MATCH($A8,Benchmark!$B:$B,0)),"",INDEX(Benchmark!C:C,MATCH($A8,Benchmark!$B:$B,0)))</f>
        <v/>
      </c>
      <c r="C8" s="63"/>
      <c r="D8" s="31" t="str">
        <f>IF(B8="","",INDEX(Benchmark!G:G,MATCH($A8,Benchmark!$B:$B,0)))</f>
        <v/>
      </c>
      <c r="E8" s="31" t="str">
        <f>IF(B8="","",INDEX(Benchmark!D:D,MATCH($A8,Benchmark!$B:$B,0)))</f>
        <v/>
      </c>
      <c r="F8" s="37" t="str">
        <f>IF(B8="","",INDEX(Benchmark!Q:Q,MATCH($A8,Benchmark!$B:$B,0)))</f>
        <v/>
      </c>
      <c r="G8" s="37" t="str">
        <f t="shared" si="1"/>
        <v/>
      </c>
      <c r="H8" s="37" t="str">
        <f>IF(B8="","",INDEX(Benchmark!I:I,MATCH($A8,Benchmark!$B:$B,0)))</f>
        <v/>
      </c>
      <c r="I8" s="37" t="str">
        <f t="shared" si="2"/>
        <v/>
      </c>
      <c r="J8" s="37" t="str">
        <f>_xlfn.XLOOKUP($A8,Benchmark!$B:$B,Benchmark!F:F,"")</f>
        <v/>
      </c>
      <c r="K8" s="37" t="str">
        <f>IF(B8="","",INDEX(Benchmark!N:N,MATCH($A8,Benchmark!$B:$B,0)))</f>
        <v/>
      </c>
      <c r="L8" s="37" t="str">
        <f>IF(B8="","",INDEX(Benchmark!Q:Q,MATCH($B8,Benchmark!$C:$C,0)))</f>
        <v/>
      </c>
      <c r="M8" s="44" t="s">
        <v>100</v>
      </c>
      <c r="N8" s="36">
        <v>2</v>
      </c>
      <c r="O8" s="37">
        <f>SUMIFS(I:I,J:J,"&lt;="&amp;N8,J:J,"&gt;"&amp;N7)</f>
        <v>0</v>
      </c>
      <c r="P8" s="37">
        <f>SUMIFS(Benchmark!J:J,Benchmark!F:F,"&lt;="&amp;N8,Benchmark!F:F,"&gt;"&amp;N7)</f>
        <v>0.95824573657765955</v>
      </c>
      <c r="U8" t="s">
        <v>97</v>
      </c>
      <c r="V8" s="45">
        <f t="shared" si="0"/>
        <v>0</v>
      </c>
    </row>
    <row r="9" spans="1:23" x14ac:dyDescent="0.3">
      <c r="A9" s="31">
        <v>4</v>
      </c>
      <c r="B9" s="31" t="str">
        <f>IF(ISNA(MATCH($A9,Benchmark!$B:$B,0)),"",INDEX(Benchmark!C:C,MATCH($A9,Benchmark!$B:$B,0)))</f>
        <v/>
      </c>
      <c r="C9" s="63"/>
      <c r="D9" s="31" t="str">
        <f>IF(B9="","",INDEX(Benchmark!G:G,MATCH($A9,Benchmark!$B:$B,0)))</f>
        <v/>
      </c>
      <c r="E9" s="31" t="str">
        <f>IF(B9="","",INDEX(Benchmark!D:D,MATCH($A9,Benchmark!$B:$B,0)))</f>
        <v/>
      </c>
      <c r="F9" s="37" t="str">
        <f>IF(B9="","",INDEX(Benchmark!Q:Q,MATCH($A9,Benchmark!$B:$B,0)))</f>
        <v/>
      </c>
      <c r="G9" s="37" t="str">
        <f t="shared" si="1"/>
        <v/>
      </c>
      <c r="H9" s="37" t="str">
        <f>IF(B9="","",INDEX(Benchmark!I:I,MATCH($A9,Benchmark!$B:$B,0)))</f>
        <v/>
      </c>
      <c r="I9" s="37" t="str">
        <f t="shared" si="2"/>
        <v/>
      </c>
      <c r="J9" s="37" t="str">
        <f>_xlfn.XLOOKUP($A9,Benchmark!$B:$B,Benchmark!F:F,"")</f>
        <v/>
      </c>
      <c r="K9" s="37" t="str">
        <f>IF(B9="","",INDEX(Benchmark!N:N,MATCH($A9,Benchmark!$B:$B,0)))</f>
        <v/>
      </c>
      <c r="L9" s="37" t="str">
        <f>IF(B9="","",INDEX(Benchmark!Q:Q,MATCH($B9,Benchmark!$C:$C,0)))</f>
        <v/>
      </c>
      <c r="M9" s="44" t="s">
        <v>101</v>
      </c>
      <c r="N9" s="36">
        <v>3</v>
      </c>
      <c r="O9" s="37">
        <f>SUMIFS(I:I,J:J,"&lt;="&amp;N9,J:J,"&gt;"&amp;N8)</f>
        <v>0</v>
      </c>
      <c r="P9" s="37">
        <f>SUMIFS(Benchmark!J:J,Benchmark!F:F,"&lt;="&amp;N9,Benchmark!F:F,"&gt;"&amp;N8)</f>
        <v>0.82649308178586012</v>
      </c>
      <c r="U9" t="s">
        <v>102</v>
      </c>
      <c r="V9" s="45">
        <f t="shared" si="0"/>
        <v>0</v>
      </c>
    </row>
    <row r="10" spans="1:23" x14ac:dyDescent="0.3">
      <c r="A10" s="31">
        <v>5</v>
      </c>
      <c r="B10" s="31" t="str">
        <f>IF(ISNA(MATCH($A10,Benchmark!$B:$B,0)),"",INDEX(Benchmark!C:C,MATCH($A10,Benchmark!$B:$B,0)))</f>
        <v/>
      </c>
      <c r="C10" s="63"/>
      <c r="D10" s="31" t="str">
        <f>IF(B10="","",INDEX(Benchmark!G:G,MATCH($A10,Benchmark!$B:$B,0)))</f>
        <v/>
      </c>
      <c r="E10" s="31" t="str">
        <f>IF(B10="","",INDEX(Benchmark!D:D,MATCH($A10,Benchmark!$B:$B,0)))</f>
        <v/>
      </c>
      <c r="F10" s="37" t="str">
        <f>IF(B10="","",INDEX(Benchmark!Q:Q,MATCH($A10,Benchmark!$B:$B,0)))</f>
        <v/>
      </c>
      <c r="G10" s="37" t="str">
        <f t="shared" si="1"/>
        <v/>
      </c>
      <c r="H10" s="37" t="str">
        <f>IF(B10="","",INDEX(Benchmark!I:I,MATCH($A10,Benchmark!$B:$B,0)))</f>
        <v/>
      </c>
      <c r="I10" s="37" t="str">
        <f t="shared" si="2"/>
        <v/>
      </c>
      <c r="J10" s="37" t="str">
        <f>_xlfn.XLOOKUP($A10,Benchmark!$B:$B,Benchmark!F:F,"")</f>
        <v/>
      </c>
      <c r="K10" s="37" t="str">
        <f>IF(B10="","",INDEX(Benchmark!N:N,MATCH($A10,Benchmark!$B:$B,0)))</f>
        <v/>
      </c>
      <c r="L10" s="37" t="str">
        <f>IF(B10="","",INDEX(Benchmark!Q:Q,MATCH($B10,Benchmark!$C:$C,0)))</f>
        <v/>
      </c>
      <c r="M10" s="44"/>
      <c r="N10" s="36"/>
      <c r="O10" s="37"/>
      <c r="P10" s="37"/>
    </row>
    <row r="11" spans="1:23" x14ac:dyDescent="0.3">
      <c r="A11" s="31">
        <v>6</v>
      </c>
      <c r="B11" s="31" t="str">
        <f>IF(ISNA(MATCH($A11,Benchmark!$B:$B,0)),"",INDEX(Benchmark!C:C,MATCH($A11,Benchmark!$B:$B,0)))</f>
        <v/>
      </c>
      <c r="C11" s="63"/>
      <c r="D11" s="31" t="str">
        <f>IF(B11="","",INDEX(Benchmark!G:G,MATCH($A11,Benchmark!$B:$B,0)))</f>
        <v/>
      </c>
      <c r="E11" s="31" t="str">
        <f>IF(B11="","",INDEX(Benchmark!D:D,MATCH($A11,Benchmark!$B:$B,0)))</f>
        <v/>
      </c>
      <c r="F11" s="37" t="str">
        <f>IF(B11="","",INDEX(Benchmark!Q:Q,MATCH($A11,Benchmark!$B:$B,0)))</f>
        <v/>
      </c>
      <c r="G11" s="37" t="str">
        <f t="shared" si="1"/>
        <v/>
      </c>
      <c r="H11" s="37" t="str">
        <f>IF(B11="","",INDEX(Benchmark!I:I,MATCH($A11,Benchmark!$B:$B,0)))</f>
        <v/>
      </c>
      <c r="I11" s="37" t="str">
        <f t="shared" si="2"/>
        <v/>
      </c>
      <c r="J11" s="37" t="str">
        <f>_xlfn.XLOOKUP($A11,Benchmark!$B:$B,Benchmark!F:F,"")</f>
        <v/>
      </c>
      <c r="K11" s="37" t="str">
        <f>IF(B11="","",INDEX(Benchmark!N:N,MATCH($A11,Benchmark!$B:$B,0)))</f>
        <v/>
      </c>
      <c r="L11" s="37" t="str">
        <f>IF(B11="","",INDEX(Benchmark!Q:Q,MATCH($B11,Benchmark!$C:$C,0)))</f>
        <v/>
      </c>
      <c r="M11" s="44"/>
      <c r="N11" s="36"/>
      <c r="O11" s="37"/>
      <c r="P11" s="37"/>
    </row>
    <row r="12" spans="1:23" x14ac:dyDescent="0.3">
      <c r="A12" s="31">
        <v>7</v>
      </c>
      <c r="B12" s="31" t="str">
        <f>IF(ISNA(MATCH($A12,Benchmark!$B:$B,0)),"",INDEX(Benchmark!C:C,MATCH($A12,Benchmark!$B:$B,0)))</f>
        <v/>
      </c>
      <c r="C12" s="63"/>
      <c r="D12" s="31" t="str">
        <f>IF(B12="","",INDEX(Benchmark!G:G,MATCH($A12,Benchmark!$B:$B,0)))</f>
        <v/>
      </c>
      <c r="E12" s="31" t="str">
        <f>IF(B12="","",INDEX(Benchmark!D:D,MATCH($A12,Benchmark!$B:$B,0)))</f>
        <v/>
      </c>
      <c r="F12" s="37" t="str">
        <f>IF(B12="","",INDEX(Benchmark!Q:Q,MATCH($A12,Benchmark!$B:$B,0)))</f>
        <v/>
      </c>
      <c r="G12" s="37" t="str">
        <f t="shared" si="1"/>
        <v/>
      </c>
      <c r="H12" s="37" t="str">
        <f>IF(B12="","",INDEX(Benchmark!I:I,MATCH($A12,Benchmark!$B:$B,0)))</f>
        <v/>
      </c>
      <c r="I12" s="37" t="str">
        <f t="shared" si="2"/>
        <v/>
      </c>
      <c r="J12" s="37" t="str">
        <f>_xlfn.XLOOKUP($A12,Benchmark!$B:$B,Benchmark!F:F,"")</f>
        <v/>
      </c>
      <c r="K12" s="37" t="str">
        <f>IF(B12="","",INDEX(Benchmark!N:N,MATCH($A12,Benchmark!$B:$B,0)))</f>
        <v/>
      </c>
      <c r="L12" s="37" t="str">
        <f>IF(B12="","",INDEX(Benchmark!Q:Q,MATCH($B12,Benchmark!$C:$C,0)))</f>
        <v/>
      </c>
    </row>
    <row r="13" spans="1:23" x14ac:dyDescent="0.3">
      <c r="A13" s="31">
        <v>8</v>
      </c>
      <c r="B13" s="31" t="str">
        <f>IF(ISNA(MATCH($A13,Benchmark!$B:$B,0)),"",INDEX(Benchmark!C:C,MATCH($A13,Benchmark!$B:$B,0)))</f>
        <v/>
      </c>
      <c r="C13" s="63"/>
      <c r="D13" s="31" t="str">
        <f>IF(B13="","",INDEX(Benchmark!G:G,MATCH($A13,Benchmark!$B:$B,0)))</f>
        <v/>
      </c>
      <c r="E13" s="31" t="str">
        <f>IF(B13="","",INDEX(Benchmark!D:D,MATCH($A13,Benchmark!$B:$B,0)))</f>
        <v/>
      </c>
      <c r="F13" s="37" t="str">
        <f>IF(B13="","",INDEX(Benchmark!Q:Q,MATCH($A13,Benchmark!$B:$B,0)))</f>
        <v/>
      </c>
      <c r="G13" s="37" t="str">
        <f t="shared" si="1"/>
        <v/>
      </c>
      <c r="H13" s="37" t="str">
        <f>IF(B13="","",INDEX(Benchmark!I:I,MATCH($A13,Benchmark!$B:$B,0)))</f>
        <v/>
      </c>
      <c r="I13" s="37" t="str">
        <f t="shared" si="2"/>
        <v/>
      </c>
      <c r="J13" s="37" t="str">
        <f>_xlfn.XLOOKUP($A13,Benchmark!$B:$B,Benchmark!F:F,"")</f>
        <v/>
      </c>
      <c r="K13" s="37" t="str">
        <f>IF(B13="","",INDEX(Benchmark!N:N,MATCH($A13,Benchmark!$B:$B,0)))</f>
        <v/>
      </c>
      <c r="L13" s="37" t="str">
        <f>IF(B13="","",INDEX(Benchmark!Q:Q,MATCH($B13,Benchmark!$C:$C,0)))</f>
        <v/>
      </c>
    </row>
    <row r="14" spans="1:23" x14ac:dyDescent="0.3">
      <c r="A14" s="31">
        <v>9</v>
      </c>
      <c r="B14" s="31" t="str">
        <f>IF(ISNA(MATCH($A14,Benchmark!$B:$B,0)),"",INDEX(Benchmark!C:C,MATCH($A14,Benchmark!$B:$B,0)))</f>
        <v/>
      </c>
      <c r="C14" s="63"/>
      <c r="D14" s="31" t="str">
        <f>IF(B14="","",INDEX(Benchmark!G:G,MATCH($A14,Benchmark!$B:$B,0)))</f>
        <v/>
      </c>
      <c r="E14" s="31" t="str">
        <f>IF(B14="","",INDEX(Benchmark!D:D,MATCH($A14,Benchmark!$B:$B,0)))</f>
        <v/>
      </c>
      <c r="F14" s="37" t="str">
        <f>IF(B14="","",INDEX(Benchmark!Q:Q,MATCH($A14,Benchmark!$B:$B,0)))</f>
        <v/>
      </c>
      <c r="G14" s="37" t="str">
        <f t="shared" si="1"/>
        <v/>
      </c>
      <c r="H14" s="37" t="str">
        <f>IF(B14="","",INDEX(Benchmark!I:I,MATCH($A14,Benchmark!$B:$B,0)))</f>
        <v/>
      </c>
      <c r="I14" s="37" t="str">
        <f t="shared" si="2"/>
        <v/>
      </c>
      <c r="J14" s="37" t="str">
        <f>_xlfn.XLOOKUP($A14,Benchmark!$B:$B,Benchmark!F:F,"")</f>
        <v/>
      </c>
      <c r="K14" s="37" t="str">
        <f>IF(B14="","",INDEX(Benchmark!N:N,MATCH($A14,Benchmark!$B:$B,0)))</f>
        <v/>
      </c>
      <c r="L14" s="37" t="str">
        <f>IF(B14="","",INDEX(Benchmark!Q:Q,MATCH($B14,Benchmark!$C:$C,0)))</f>
        <v/>
      </c>
      <c r="T14" t="s">
        <v>92</v>
      </c>
      <c r="U14" t="s">
        <v>93</v>
      </c>
      <c r="V14" t="s">
        <v>94</v>
      </c>
    </row>
    <row r="15" spans="1:23" x14ac:dyDescent="0.3">
      <c r="A15" s="31">
        <v>10</v>
      </c>
      <c r="B15" s="31" t="str">
        <f>IF(ISNA(MATCH($A15,Benchmark!$B:$B,0)),"",INDEX(Benchmark!C:C,MATCH($A15,Benchmark!$B:$B,0)))</f>
        <v/>
      </c>
      <c r="C15" s="63"/>
      <c r="D15" s="31" t="str">
        <f>IF(B15="","",INDEX(Benchmark!G:G,MATCH($A15,Benchmark!$B:$B,0)))</f>
        <v/>
      </c>
      <c r="E15" s="31" t="str">
        <f>IF(B15="","",INDEX(Benchmark!D:D,MATCH($A15,Benchmark!$B:$B,0)))</f>
        <v/>
      </c>
      <c r="F15" s="37" t="str">
        <f>IF(B15="","",INDEX(Benchmark!Q:Q,MATCH($A15,Benchmark!$B:$B,0)))</f>
        <v/>
      </c>
      <c r="G15" s="37" t="str">
        <f t="shared" si="1"/>
        <v/>
      </c>
      <c r="H15" s="37" t="str">
        <f>IF(B15="","",INDEX(Benchmark!I:I,MATCH($A15,Benchmark!$B:$B,0)))</f>
        <v/>
      </c>
      <c r="I15" s="37" t="str">
        <f t="shared" si="2"/>
        <v/>
      </c>
      <c r="J15" s="37" t="str">
        <f>_xlfn.XLOOKUP($A15,Benchmark!$B:$B,Benchmark!F:F,"")</f>
        <v/>
      </c>
      <c r="K15" s="37" t="str">
        <f>IF(B15="","",INDEX(Benchmark!N:N,MATCH($A15,Benchmark!$B:$B,0)))</f>
        <v/>
      </c>
      <c r="L15" s="37" t="str">
        <f>IF(B15="","",INDEX(Benchmark!Q:Q,MATCH($B15,Benchmark!$C:$C,0)))</f>
        <v/>
      </c>
      <c r="T15" t="s">
        <v>96</v>
      </c>
      <c r="U15" s="46">
        <f t="shared" ref="U15:U24" si="3">SUMIF(K:K,T15,C:C)</f>
        <v>0</v>
      </c>
      <c r="V15" s="46">
        <f>SUMIFS(Benchmark!H:H,Benchmark!N:N,T15)</f>
        <v>0</v>
      </c>
    </row>
    <row r="16" spans="1:23" x14ac:dyDescent="0.3">
      <c r="A16" s="31"/>
      <c r="B16" s="31"/>
      <c r="C16" s="35"/>
      <c r="D16" s="35"/>
      <c r="E16" s="31"/>
      <c r="F16" s="36"/>
      <c r="G16" s="36"/>
      <c r="H16" s="37"/>
      <c r="I16" s="37"/>
      <c r="J16" s="37"/>
      <c r="K16" s="36"/>
      <c r="L16" s="37"/>
      <c r="T16" t="s">
        <v>17</v>
      </c>
      <c r="U16" s="46">
        <f t="shared" si="3"/>
        <v>0</v>
      </c>
      <c r="V16" s="46">
        <f>SUMIFS(Benchmark!H:H,Benchmark!N:N,T16)</f>
        <v>0.57054757652356647</v>
      </c>
    </row>
    <row r="17" spans="1:22" ht="15" x14ac:dyDescent="0.35">
      <c r="A17" s="31"/>
      <c r="B17" s="31"/>
      <c r="C17" s="35"/>
      <c r="D17" s="35"/>
      <c r="E17" s="31"/>
      <c r="F17" s="36"/>
      <c r="G17" s="36"/>
      <c r="H17" s="37"/>
      <c r="I17" s="37"/>
      <c r="J17" s="37"/>
      <c r="K17" s="53" t="s">
        <v>93</v>
      </c>
      <c r="L17" s="54">
        <f>SUMPRODUCT(L5:L15,C5:C15)</f>
        <v>0</v>
      </c>
      <c r="T17" t="s">
        <v>58</v>
      </c>
      <c r="U17" s="46">
        <f t="shared" si="3"/>
        <v>0</v>
      </c>
      <c r="V17" s="46">
        <f>SUMIFS(Benchmark!H:H,Benchmark!N:N,T17)</f>
        <v>0.14302643338650667</v>
      </c>
    </row>
    <row r="18" spans="1:22" ht="15" x14ac:dyDescent="0.35">
      <c r="A18" s="31"/>
      <c r="B18" s="31"/>
      <c r="C18" s="36"/>
      <c r="D18" s="36"/>
      <c r="E18" s="36"/>
      <c r="F18" s="36"/>
      <c r="G18" s="36"/>
      <c r="H18" s="36"/>
      <c r="K18" s="53" t="s">
        <v>23</v>
      </c>
      <c r="L18" s="54">
        <f>Benchmark!Q1</f>
        <v>0</v>
      </c>
      <c r="T18" t="s">
        <v>61</v>
      </c>
      <c r="U18" s="46">
        <f t="shared" si="3"/>
        <v>0</v>
      </c>
      <c r="V18" s="46">
        <f>SUMIFS(Benchmark!H:H,Benchmark!N:N,T18)</f>
        <v>3.6742525103732833E-2</v>
      </c>
    </row>
    <row r="19" spans="1:22" ht="15" x14ac:dyDescent="0.35">
      <c r="A19" s="31"/>
      <c r="B19" s="31"/>
      <c r="C19" s="36"/>
      <c r="D19" s="36"/>
      <c r="E19" s="36"/>
      <c r="F19" s="36"/>
      <c r="G19" s="36"/>
      <c r="H19" s="36"/>
      <c r="K19" s="53" t="s">
        <v>103</v>
      </c>
      <c r="L19" s="54">
        <f>L17-L18</f>
        <v>0</v>
      </c>
      <c r="T19" t="s">
        <v>65</v>
      </c>
      <c r="U19" s="46">
        <f t="shared" si="3"/>
        <v>0</v>
      </c>
      <c r="V19" s="46">
        <f>SUMIFS(Benchmark!H:H,Benchmark!N:N,T19)</f>
        <v>3.663183644689446E-2</v>
      </c>
    </row>
    <row r="20" spans="1:22" x14ac:dyDescent="0.3">
      <c r="A20" s="31"/>
      <c r="B20" s="31"/>
      <c r="C20" s="36"/>
      <c r="D20" s="36"/>
      <c r="E20" s="36"/>
      <c r="F20" s="36" t="s">
        <v>122</v>
      </c>
      <c r="G20" s="36"/>
      <c r="H20" s="36"/>
      <c r="N20" t="s">
        <v>89</v>
      </c>
      <c r="O20" t="s">
        <v>93</v>
      </c>
      <c r="P20" t="s">
        <v>23</v>
      </c>
      <c r="T20" t="s">
        <v>67</v>
      </c>
      <c r="U20" s="46">
        <f t="shared" si="3"/>
        <v>0</v>
      </c>
      <c r="V20" s="46">
        <f>SUMIFS(Benchmark!H:H,Benchmark!N:N,T20)</f>
        <v>7.1856901518261324E-2</v>
      </c>
    </row>
    <row r="21" spans="1:22" x14ac:dyDescent="0.3">
      <c r="C21" s="36"/>
      <c r="D21" s="36"/>
      <c r="E21" s="36"/>
      <c r="F21" s="36"/>
      <c r="G21" s="36"/>
      <c r="H21" s="36"/>
      <c r="N21" t="s">
        <v>40</v>
      </c>
      <c r="O21" s="46">
        <f>SUMIF(E:E,N21,C:C)</f>
        <v>0</v>
      </c>
      <c r="P21" s="46">
        <f>SUMIFS(Benchmark!H:H,Benchmark!D:D,N21)</f>
        <v>0.49809952339747948</v>
      </c>
      <c r="Q21" s="47"/>
      <c r="T21" t="s">
        <v>72</v>
      </c>
      <c r="U21" s="46">
        <f t="shared" si="3"/>
        <v>0</v>
      </c>
      <c r="V21" s="46">
        <f>SUMIFS(Benchmark!H:H,Benchmark!N:N,T21)</f>
        <v>3.5795562554000633E-2</v>
      </c>
    </row>
    <row r="22" spans="1:22" x14ac:dyDescent="0.3">
      <c r="C22" s="36"/>
      <c r="D22" s="36"/>
      <c r="E22" s="36"/>
      <c r="F22" s="36"/>
      <c r="G22" s="36"/>
      <c r="H22" s="36"/>
      <c r="N22" t="s">
        <v>56</v>
      </c>
      <c r="O22" s="46">
        <f>SUMIF(E:E,N22,C:C)</f>
        <v>0</v>
      </c>
      <c r="P22" s="46">
        <f>SUMIFS(Benchmark!H:H,Benchmark!D:D,N22)</f>
        <v>0.50190047660252046</v>
      </c>
      <c r="T22" t="s">
        <v>74</v>
      </c>
      <c r="U22" s="46">
        <f t="shared" si="3"/>
        <v>0</v>
      </c>
      <c r="V22" s="46">
        <f>SUMIFS(Benchmark!H:H,Benchmark!N:N,T22)</f>
        <v>3.3908473679071571E-2</v>
      </c>
    </row>
    <row r="23" spans="1:22" x14ac:dyDescent="0.3">
      <c r="C23" s="36"/>
      <c r="D23" s="36"/>
      <c r="E23" s="36"/>
      <c r="F23" s="36"/>
      <c r="G23" s="36"/>
      <c r="H23" s="36"/>
      <c r="N23" t="s">
        <v>97</v>
      </c>
      <c r="O23" s="46">
        <f>SUMIF(E:E,N23,C:C)</f>
        <v>0</v>
      </c>
      <c r="P23" s="46">
        <f>SUMIFS(Benchmark!H:H,Benchmark!D:D,N23)</f>
        <v>0</v>
      </c>
      <c r="T23" t="s">
        <v>76</v>
      </c>
      <c r="U23" s="46">
        <f t="shared" si="3"/>
        <v>0</v>
      </c>
      <c r="V23" s="46">
        <f>SUMIFS(Benchmark!H:H,Benchmark!N:N,T23)</f>
        <v>3.7651524789555954E-2</v>
      </c>
    </row>
    <row r="24" spans="1:22" ht="15" x14ac:dyDescent="0.35">
      <c r="B24" s="53" t="s">
        <v>104</v>
      </c>
      <c r="C24" s="36"/>
      <c r="D24" s="36"/>
      <c r="E24" s="36"/>
      <c r="F24" s="36"/>
      <c r="G24" s="36"/>
      <c r="H24" s="36"/>
      <c r="O24" s="46"/>
      <c r="P24" s="46"/>
      <c r="T24" t="s">
        <v>79</v>
      </c>
      <c r="U24" s="46">
        <f t="shared" si="3"/>
        <v>0</v>
      </c>
      <c r="V24" s="46">
        <f>SUMIFS(Benchmark!H:H,Benchmark!N:N,T24)</f>
        <v>3.3839165998409956E-2</v>
      </c>
    </row>
    <row r="25" spans="1:22" ht="15" x14ac:dyDescent="0.35">
      <c r="B25" s="61"/>
      <c r="C25" s="36"/>
      <c r="D25" s="36"/>
      <c r="E25" s="36"/>
      <c r="F25" s="36"/>
      <c r="G25" s="36"/>
      <c r="H25" s="36"/>
      <c r="O25" s="46"/>
      <c r="P25" s="46"/>
      <c r="Q25" s="47"/>
    </row>
    <row r="26" spans="1:22" x14ac:dyDescent="0.3">
      <c r="E26" s="36"/>
      <c r="F26" s="36"/>
      <c r="G26" s="36"/>
      <c r="H26" s="36"/>
    </row>
    <row r="27" spans="1:22" x14ac:dyDescent="0.3">
      <c r="E27" s="36"/>
      <c r="F27" s="36"/>
      <c r="G27" s="36"/>
      <c r="H27" s="36"/>
    </row>
    <row r="28" spans="1:22" x14ac:dyDescent="0.3">
      <c r="E28" s="36"/>
      <c r="F28" s="36"/>
      <c r="G28" s="36"/>
      <c r="H28" s="36"/>
    </row>
    <row r="46" spans="15:16" x14ac:dyDescent="0.3">
      <c r="O46" s="46"/>
      <c r="P46" s="46"/>
    </row>
  </sheetData>
  <sortState xmlns:xlrd2="http://schemas.microsoft.com/office/spreadsheetml/2017/richdata2" ref="T15:T21">
    <sortCondition ref="T15:T21"/>
  </sortState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254EF-2A6E-4404-9369-C7A0D035CB3C}">
  <sheetPr codeName="Sheet3"/>
  <dimension ref="C1:K27"/>
  <sheetViews>
    <sheetView showGridLines="0" topLeftCell="B1" workbookViewId="0">
      <selection activeCell="B1" sqref="B1"/>
    </sheetView>
  </sheetViews>
  <sheetFormatPr defaultRowHeight="12.45" x14ac:dyDescent="0.3"/>
  <cols>
    <col min="1" max="1" width="0" hidden="1" customWidth="1"/>
    <col min="3" max="3" width="15.07421875" customWidth="1"/>
    <col min="4" max="9" width="12.765625" customWidth="1"/>
    <col min="12" max="13" width="3" customWidth="1"/>
    <col min="14" max="14" width="3.07421875" customWidth="1"/>
  </cols>
  <sheetData>
    <row r="1" spans="3:11" ht="12.9" thickBot="1" x14ac:dyDescent="0.35"/>
    <row r="2" spans="3:11" ht="31.75" thickTop="1" thickBot="1" x14ac:dyDescent="0.45">
      <c r="C2" s="13"/>
      <c r="D2" s="3" t="s">
        <v>0</v>
      </c>
      <c r="E2" s="3" t="s">
        <v>1</v>
      </c>
      <c r="F2" s="3" t="s">
        <v>8</v>
      </c>
      <c r="G2" s="3" t="s">
        <v>9</v>
      </c>
      <c r="H2" s="4" t="s">
        <v>10</v>
      </c>
      <c r="I2" s="4" t="s">
        <v>12</v>
      </c>
    </row>
    <row r="3" spans="3:11" ht="15.9" thickTop="1" thickBot="1" x14ac:dyDescent="0.4">
      <c r="C3" s="14" t="s">
        <v>99</v>
      </c>
      <c r="D3" s="33">
        <f>SUMIFS(Portfolio!$C$5:$C$100,Portfolio!$H$5:$H$100,"&gt;="&amp;$J3,Portfolio!$H$5:$H$100,"&lt;"&amp;$K3)</f>
        <v>0</v>
      </c>
      <c r="E3" s="38">
        <f>IF(D3=0,0,SUMIFS(Portfolio!$G$5:$G$100,Portfolio!$H$5:$H$100,"&gt;="&amp;$J3,Portfolio!$H$5:$H$100,"&lt;"&amp;$K3)/D3)</f>
        <v>0</v>
      </c>
      <c r="F3" s="39">
        <f>SUMIFS(Benchmark!$H$3:$H$30,Benchmark!$F$3:$F$30,"&gt;="&amp;$J3,Benchmark!$F$3:$F$30,"&lt;"&amp;$K3)</f>
        <v>3.6721127720937177E-2</v>
      </c>
      <c r="G3" s="30">
        <f>IF(F3=0,0,SUMIFS(Benchmark!$R$3:$R$30,Benchmark!$F$3:$F$30,"&gt;="&amp;$J3,Benchmark!$F$3:$F$30,"&lt;"&amp;$K3)/F3)</f>
        <v>0</v>
      </c>
      <c r="H3" s="8"/>
      <c r="I3" s="8"/>
      <c r="J3" s="31">
        <v>0</v>
      </c>
      <c r="K3" s="31">
        <v>1</v>
      </c>
    </row>
    <row r="4" spans="3:11" ht="15.45" thickBot="1" x14ac:dyDescent="0.4">
      <c r="C4" s="41" t="s">
        <v>100</v>
      </c>
      <c r="D4" s="33">
        <f>SUMIFS(Portfolio!$C$5:$C$100,Portfolio!$H$5:$H$100,"&gt;="&amp;$J4,Portfolio!$H$5:$H$100,"&lt;"&amp;$K4)</f>
        <v>0</v>
      </c>
      <c r="E4" s="38">
        <f>IF(D4=0,0,SUMIFS(Portfolio!$G$5:$G$100,Portfolio!$H$5:$H$100,"&gt;="&amp;$J4,Portfolio!$H$5:$H$100,"&lt;"&amp;$K4)/D4)</f>
        <v>0</v>
      </c>
      <c r="F4" s="39">
        <f>SUMIFS(Benchmark!$H$3:$H$30,Benchmark!$F$3:$F$30,"&gt;="&amp;$J4,Benchmark!$F$3:$F$30,"&lt;"&amp;$K4)</f>
        <v>0.61154713609761902</v>
      </c>
      <c r="G4" s="30">
        <f>IF(F4=0,0,SUMIFS(Benchmark!$R$3:$R$30,Benchmark!$F$3:$F$30,"&gt;="&amp;$J4,Benchmark!$F$3:$F$30,"&lt;"&amp;$K4)/F4)</f>
        <v>0</v>
      </c>
      <c r="H4" s="8"/>
      <c r="I4" s="8"/>
      <c r="J4" s="31">
        <v>1</v>
      </c>
      <c r="K4" s="31">
        <v>2</v>
      </c>
    </row>
    <row r="5" spans="3:11" ht="15.45" thickBot="1" x14ac:dyDescent="0.4">
      <c r="C5" s="28" t="s">
        <v>101</v>
      </c>
      <c r="D5" s="33">
        <f>SUMIFS(Portfolio!$C$5:$C$100,Portfolio!$H$5:$H$100,"&gt;="&amp;$J5,Portfolio!$H$5:$H$100,"&lt;"&amp;$K5)</f>
        <v>0</v>
      </c>
      <c r="E5" s="38">
        <f>IF(D5=0,0,SUMIFS(Portfolio!$G$5:$G$100,Portfolio!$H$5:$H$100,"&gt;="&amp;$J5,Portfolio!$H$5:$H$100,"&lt;"&amp;$K5)/D5)</f>
        <v>0</v>
      </c>
      <c r="F5" s="39">
        <f>SUMIFS(Benchmark!$H$3:$H$30,Benchmark!$F$3:$F$30,"&gt;="&amp;$J5,Benchmark!$F$3:$F$30,"&lt;"&amp;$K5)</f>
        <v>0.35173173618144371</v>
      </c>
      <c r="G5" s="30">
        <f>IF(F5=0,0,SUMIFS(Benchmark!$R$3:$R$30,Benchmark!$F$3:$F$30,"&gt;="&amp;$J5,Benchmark!$F$3:$F$30,"&lt;"&amp;$K5)/F5)</f>
        <v>0</v>
      </c>
      <c r="H5" s="8"/>
      <c r="I5" s="8"/>
      <c r="J5" s="31">
        <v>2</v>
      </c>
      <c r="K5" s="31">
        <v>3</v>
      </c>
    </row>
    <row r="6" spans="3:11" ht="15.45" x14ac:dyDescent="0.4">
      <c r="C6" s="23" t="s">
        <v>6</v>
      </c>
      <c r="D6" s="34">
        <f>SUM(D3:D5)</f>
        <v>0</v>
      </c>
      <c r="E6" s="25">
        <f>SUMPRODUCT(E3:E5,D3:D5)</f>
        <v>0</v>
      </c>
      <c r="F6" s="34">
        <f>SUM(F3:F5)</f>
        <v>0.99999999999999989</v>
      </c>
      <c r="G6" s="25">
        <f>SUMPRODUCT(G3:G5,F3:F5)</f>
        <v>0</v>
      </c>
      <c r="H6" s="25">
        <f>SUM(H3:H5)</f>
        <v>0</v>
      </c>
      <c r="I6" s="25">
        <f>SUM(I3:I5)</f>
        <v>0</v>
      </c>
    </row>
    <row r="7" spans="3:11" ht="12.9" thickBot="1" x14ac:dyDescent="0.35"/>
    <row r="8" spans="3:11" ht="31.75" thickTop="1" thickBot="1" x14ac:dyDescent="0.45">
      <c r="C8" s="13"/>
      <c r="D8" s="3" t="s">
        <v>0</v>
      </c>
      <c r="E8" s="3" t="s">
        <v>1</v>
      </c>
      <c r="F8" s="3" t="s">
        <v>8</v>
      </c>
      <c r="G8" s="3" t="s">
        <v>9</v>
      </c>
      <c r="H8" s="4" t="s">
        <v>10</v>
      </c>
      <c r="I8" s="4" t="s">
        <v>12</v>
      </c>
    </row>
    <row r="9" spans="3:11" ht="15.9" thickTop="1" thickBot="1" x14ac:dyDescent="0.4">
      <c r="C9" s="14" t="s">
        <v>97</v>
      </c>
      <c r="D9" s="33">
        <f>SUMIFS(Portfolio!$C:$C,Portfolio!$E:$E,$J9)</f>
        <v>0</v>
      </c>
      <c r="E9" s="38">
        <f>IF(D9=0,0,SUMIFS(Portfolio!$G:$G,Portfolio!$E:$E,$J9)/D9)</f>
        <v>0</v>
      </c>
      <c r="F9" s="39">
        <f>SUMIFS(Benchmark!$H:$H,Benchmark!$D:$D,$J9)</f>
        <v>0</v>
      </c>
      <c r="G9" s="30">
        <f>IF(F9=0,0,SUMIFS(Benchmark!$R:$R,Benchmark!$D:$D,$J9)/F9)</f>
        <v>0</v>
      </c>
      <c r="H9" s="8"/>
      <c r="I9" s="8"/>
      <c r="J9" t="s">
        <v>96</v>
      </c>
    </row>
    <row r="10" spans="3:11" ht="15.45" thickBot="1" x14ac:dyDescent="0.4">
      <c r="C10" s="14" t="s">
        <v>105</v>
      </c>
      <c r="D10" s="33">
        <f>SUMIFS(Portfolio!$C:$C,Portfolio!$E:$E,$J10)</f>
        <v>0</v>
      </c>
      <c r="E10" s="38">
        <f>IF(D10=0,0,SUMIFS(Portfolio!$G:$G,Portfolio!$E:$E,$J10)/D10)</f>
        <v>0</v>
      </c>
      <c r="F10" s="39">
        <f>SUMIFS(Benchmark!$H:$H,Benchmark!$D:$D,$J10)</f>
        <v>0.49809952339747948</v>
      </c>
      <c r="G10" s="30">
        <f>IF(F10=0,0,SUMIFS(Benchmark!$R:$R,Benchmark!$D:$D,$J10)/F10)</f>
        <v>0</v>
      </c>
      <c r="H10" s="8"/>
      <c r="I10" s="8"/>
      <c r="J10" t="s">
        <v>40</v>
      </c>
    </row>
    <row r="11" spans="3:11" ht="15.45" thickBot="1" x14ac:dyDescent="0.4">
      <c r="C11" s="14" t="s">
        <v>106</v>
      </c>
      <c r="D11" s="33">
        <f>SUMIFS(Portfolio!$C:$C,Portfolio!$E:$E,$J11)</f>
        <v>0</v>
      </c>
      <c r="E11" s="38">
        <f>IF(D11=0,0,SUMIFS(Portfolio!$G:$G,Portfolio!$E:$E,$J11)/D11)</f>
        <v>0</v>
      </c>
      <c r="F11" s="39">
        <f>SUMIFS(Benchmark!$H:$H,Benchmark!$D:$D,$J11)</f>
        <v>0.50190047660252046</v>
      </c>
      <c r="G11" s="30">
        <f>IF(F11=0,0,SUMIFS(Benchmark!$R:$R,Benchmark!$D:$D,$J11)/F11)</f>
        <v>0</v>
      </c>
      <c r="H11" s="8"/>
      <c r="I11" s="8"/>
      <c r="J11" t="s">
        <v>56</v>
      </c>
    </row>
    <row r="12" spans="3:11" ht="15.45" thickBot="1" x14ac:dyDescent="0.4">
      <c r="C12" s="14" t="s">
        <v>102</v>
      </c>
      <c r="D12" s="33">
        <f>SUMIFS(Portfolio!$C:$C,Portfolio!$E:$E,$J12)</f>
        <v>0</v>
      </c>
      <c r="E12" s="38">
        <f>IF(D12=0,0,SUMIFS(Portfolio!$G:$G,Portfolio!$E:$E,$J12)/D12)</f>
        <v>0</v>
      </c>
      <c r="F12" s="39">
        <f>SUMIFS(Benchmark!$H:$H,Benchmark!$D:$D,$J12)</f>
        <v>0</v>
      </c>
      <c r="G12" s="30">
        <f>IF(F12=0,0,SUMIFS(Benchmark!$R:$R,Benchmark!$D:$D,$J12)/F12)</f>
        <v>0</v>
      </c>
      <c r="H12" s="8"/>
      <c r="I12" s="8"/>
      <c r="J12" t="s">
        <v>102</v>
      </c>
    </row>
    <row r="13" spans="3:11" ht="15.45" x14ac:dyDescent="0.4">
      <c r="C13" s="23" t="s">
        <v>6</v>
      </c>
      <c r="D13" s="34">
        <f>SUM(D9:D11)</f>
        <v>0</v>
      </c>
      <c r="E13" s="25">
        <f>SUMPRODUCT(E9:E11,D9:D11)</f>
        <v>0</v>
      </c>
      <c r="F13" s="34">
        <f>SUM(F9:F11)</f>
        <v>1</v>
      </c>
      <c r="G13" s="25">
        <f>SUMPRODUCT(G9:G11,F9:F11)</f>
        <v>0</v>
      </c>
      <c r="H13" s="25">
        <f>SUM(H9:H11)</f>
        <v>0</v>
      </c>
      <c r="I13" s="25">
        <f>SUM(I9:I11)</f>
        <v>0</v>
      </c>
    </row>
    <row r="14" spans="3:11" ht="12.9" thickBot="1" x14ac:dyDescent="0.35"/>
    <row r="15" spans="3:11" ht="31.75" thickTop="1" thickBot="1" x14ac:dyDescent="0.45">
      <c r="C15" s="13"/>
      <c r="D15" s="3" t="s">
        <v>0</v>
      </c>
      <c r="E15" s="3" t="s">
        <v>1</v>
      </c>
      <c r="F15" s="3" t="s">
        <v>8</v>
      </c>
      <c r="G15" s="3" t="s">
        <v>9</v>
      </c>
      <c r="H15" s="4" t="s">
        <v>10</v>
      </c>
      <c r="I15" s="4" t="s">
        <v>12</v>
      </c>
    </row>
    <row r="16" spans="3:11" ht="15.9" thickTop="1" thickBot="1" x14ac:dyDescent="0.4">
      <c r="C16" s="14" t="s">
        <v>97</v>
      </c>
      <c r="D16" s="33">
        <f>SUMIFS(Portfolio!$C:$C,Portfolio!$K:$K,$J16)</f>
        <v>0</v>
      </c>
      <c r="E16" s="38">
        <f>IF(D16=0,0,SUMIFS(Portfolio!$G:$G,Portfolio!$K:$K,$J16)/D16)</f>
        <v>0</v>
      </c>
      <c r="F16" s="39">
        <f>SUMIFS(Benchmark!$H:$H,Benchmark!$N:$N,$J16)</f>
        <v>0</v>
      </c>
      <c r="G16" s="30">
        <f>IF(F16=0,0,SUMIFS(Benchmark!$R:$R,Benchmark!$N:$N,$J16)/F16)</f>
        <v>0</v>
      </c>
      <c r="H16" s="8"/>
      <c r="I16" s="8"/>
      <c r="J16" t="s">
        <v>96</v>
      </c>
    </row>
    <row r="17" spans="3:10" ht="15.45" thickBot="1" x14ac:dyDescent="0.4">
      <c r="C17" s="14" t="s">
        <v>17</v>
      </c>
      <c r="D17" s="33">
        <f>SUMIFS(Portfolio!$C:$C,Portfolio!$K:$K,$J17)</f>
        <v>0</v>
      </c>
      <c r="E17" s="38">
        <f>IF(D17=0,0,SUMIFS(Portfolio!$G:$G,Portfolio!$K:$K,$J17)/D17)</f>
        <v>0</v>
      </c>
      <c r="F17" s="39">
        <f>SUMIFS(Benchmark!$H:$H,Benchmark!$N:$N,$J17)</f>
        <v>0.57054757652356647</v>
      </c>
      <c r="G17" s="30">
        <f>IF(F17=0,0,SUMIFS(Benchmark!$R:$R,Benchmark!$N:$N,$J17)/F17)</f>
        <v>0</v>
      </c>
      <c r="H17" s="8"/>
      <c r="I17" s="8"/>
      <c r="J17" t="s">
        <v>17</v>
      </c>
    </row>
    <row r="18" spans="3:10" ht="15.45" thickBot="1" x14ac:dyDescent="0.4">
      <c r="C18" s="14" t="s">
        <v>14</v>
      </c>
      <c r="D18" s="33">
        <f>SUMIFS(Portfolio!$C:$C,Portfolio!$K:$K,$J18)</f>
        <v>0</v>
      </c>
      <c r="E18" s="38">
        <f>IF(D18=0,0,SUMIFS(Portfolio!$G:$G,Portfolio!$K:$K,$J18)/D18)</f>
        <v>0</v>
      </c>
      <c r="F18" s="39">
        <f>SUMIFS(Benchmark!$H:$H,Benchmark!$N:$N,$J18)</f>
        <v>0.14302643338650667</v>
      </c>
      <c r="G18" s="30">
        <f>IF(F18=0,0,SUMIFS(Benchmark!$R:$R,Benchmark!$N:$N,$J18)/F18)</f>
        <v>0</v>
      </c>
      <c r="H18" s="8"/>
      <c r="I18" s="8"/>
      <c r="J18" t="s">
        <v>58</v>
      </c>
    </row>
    <row r="19" spans="3:10" ht="15.45" thickBot="1" x14ac:dyDescent="0.4">
      <c r="C19" s="14" t="s">
        <v>107</v>
      </c>
      <c r="D19" s="33">
        <f>SUMIFS(Portfolio!$C:$C,Portfolio!$K:$K,$J19)</f>
        <v>0</v>
      </c>
      <c r="E19" s="38">
        <f>IF(D19=0,0,SUMIFS(Portfolio!$G:$G,Portfolio!$K:$K,$J19)/D19)</f>
        <v>0</v>
      </c>
      <c r="F19" s="39">
        <f>SUMIFS(Benchmark!$H:$H,Benchmark!$N:$N,$J19)</f>
        <v>3.6742525103732833E-2</v>
      </c>
      <c r="G19" s="30">
        <f>IF(F19=0,0,SUMIFS(Benchmark!$R:$R,Benchmark!$N:$N,$J19)/F19)</f>
        <v>0</v>
      </c>
      <c r="H19" s="8"/>
      <c r="I19" s="8"/>
      <c r="J19" t="s">
        <v>61</v>
      </c>
    </row>
    <row r="20" spans="3:10" ht="15.45" thickBot="1" x14ac:dyDescent="0.4">
      <c r="C20" s="14" t="s">
        <v>108</v>
      </c>
      <c r="D20" s="33">
        <f>SUMIFS(Portfolio!$C:$C,Portfolio!$K:$K,$J20)</f>
        <v>0</v>
      </c>
      <c r="E20" s="38">
        <f>IF(D20=0,0,SUMIFS(Portfolio!$G:$G,Portfolio!$K:$K,$J20)/D20)</f>
        <v>0</v>
      </c>
      <c r="F20" s="39">
        <f>SUMIFS(Benchmark!$H:$H,Benchmark!$N:$N,$J20)</f>
        <v>3.663183644689446E-2</v>
      </c>
      <c r="G20" s="30">
        <f>IF(F20=0,0,SUMIFS(Benchmark!$R:$R,Benchmark!$N:$N,$J20)/F20)</f>
        <v>0</v>
      </c>
      <c r="H20" s="8"/>
      <c r="I20" s="8"/>
      <c r="J20" t="s">
        <v>65</v>
      </c>
    </row>
    <row r="21" spans="3:10" ht="15.45" thickBot="1" x14ac:dyDescent="0.4">
      <c r="C21" s="14" t="s">
        <v>15</v>
      </c>
      <c r="D21" s="33">
        <f>SUMIFS(Portfolio!$C:$C,Portfolio!$K:$K,$J21)</f>
        <v>0</v>
      </c>
      <c r="E21" s="38">
        <f>IF(D21=0,0,SUMIFS(Portfolio!$G:$G,Portfolio!$K:$K,$J21)/D21)</f>
        <v>0</v>
      </c>
      <c r="F21" s="39">
        <f>SUMIFS(Benchmark!$H:$H,Benchmark!$N:$N,$J21)</f>
        <v>7.1856901518261324E-2</v>
      </c>
      <c r="G21" s="30">
        <f>IF(F21=0,0,SUMIFS(Benchmark!$R:$R,Benchmark!$N:$N,$J21)/F21)</f>
        <v>0</v>
      </c>
      <c r="H21" s="8"/>
      <c r="I21" s="8"/>
      <c r="J21" t="s">
        <v>67</v>
      </c>
    </row>
    <row r="22" spans="3:10" ht="15.45" thickBot="1" x14ac:dyDescent="0.4">
      <c r="C22" s="14" t="s">
        <v>109</v>
      </c>
      <c r="D22" s="33">
        <f>SUMIFS(Portfolio!$C:$C,Portfolio!$K:$K,$J22)</f>
        <v>0</v>
      </c>
      <c r="E22" s="38">
        <f>IF(D22=0,0,SUMIFS(Portfolio!$G:$G,Portfolio!$K:$K,$J22)/D22)</f>
        <v>0</v>
      </c>
      <c r="F22" s="39">
        <f>SUMIFS(Benchmark!$H:$H,Benchmark!$N:$N,$J22)</f>
        <v>3.5795562554000633E-2</v>
      </c>
      <c r="G22" s="30">
        <f>IF(F22=0,0,SUMIFS(Benchmark!$R:$R,Benchmark!$N:$N,$J22)/F22)</f>
        <v>0</v>
      </c>
      <c r="H22" s="8"/>
      <c r="I22" s="8"/>
      <c r="J22" t="s">
        <v>72</v>
      </c>
    </row>
    <row r="23" spans="3:10" ht="15.45" thickBot="1" x14ac:dyDescent="0.4">
      <c r="C23" s="14" t="s">
        <v>110</v>
      </c>
      <c r="D23" s="33">
        <f>SUMIFS(Portfolio!$C:$C,Portfolio!$K:$K,$J23)</f>
        <v>0</v>
      </c>
      <c r="E23" s="38">
        <f>IF(D23=0,0,SUMIFS(Portfolio!$G:$G,Portfolio!$K:$K,$J23)/D23)</f>
        <v>0</v>
      </c>
      <c r="F23" s="39">
        <f>SUMIFS(Benchmark!$H:$H,Benchmark!$N:$N,$J23)</f>
        <v>3.3908473679071571E-2</v>
      </c>
      <c r="G23" s="30">
        <f>IF(F23=0,0,SUMIFS(Benchmark!$R:$R,Benchmark!$N:$N,$J23)/F23)</f>
        <v>0</v>
      </c>
      <c r="H23" s="8"/>
      <c r="I23" s="8"/>
      <c r="J23" t="s">
        <v>74</v>
      </c>
    </row>
    <row r="24" spans="3:10" ht="15.45" thickBot="1" x14ac:dyDescent="0.4">
      <c r="C24" s="14" t="s">
        <v>111</v>
      </c>
      <c r="D24" s="33">
        <f>SUMIFS(Portfolio!$C:$C,Portfolio!$K:$K,$J24)</f>
        <v>0</v>
      </c>
      <c r="E24" s="38">
        <f>IF(D24=0,0,SUMIFS(Portfolio!$G:$G,Portfolio!$K:$K,$J24)/D24)</f>
        <v>0</v>
      </c>
      <c r="F24" s="39">
        <f>SUMIFS(Benchmark!$H:$H,Benchmark!$N:$N,$J24)</f>
        <v>3.7651524789555954E-2</v>
      </c>
      <c r="G24" s="30">
        <f>IF(F24=0,0,SUMIFS(Benchmark!$R:$R,Benchmark!$N:$N,$J24)/F24)</f>
        <v>0</v>
      </c>
      <c r="H24" s="8"/>
      <c r="I24" s="8"/>
      <c r="J24" t="s">
        <v>76</v>
      </c>
    </row>
    <row r="25" spans="3:10" ht="15.45" thickBot="1" x14ac:dyDescent="0.4">
      <c r="C25" s="14" t="s">
        <v>112</v>
      </c>
      <c r="D25" s="33">
        <f>SUMIFS(Portfolio!$C:$C,Portfolio!$K:$K,$J25)</f>
        <v>0</v>
      </c>
      <c r="E25" s="38">
        <f>IF(D25=0,0,SUMIFS(Portfolio!$G:$G,Portfolio!$K:$K,$J25)/D25)</f>
        <v>0</v>
      </c>
      <c r="F25" s="39">
        <f>SUMIFS(Benchmark!$H:$H,Benchmark!$N:$N,$J25)</f>
        <v>3.3839165998409956E-2</v>
      </c>
      <c r="G25" s="30">
        <f>IF(F25=0,0,SUMIFS(Benchmark!$R:$R,Benchmark!$N:$N,$J25)/F25)</f>
        <v>0</v>
      </c>
      <c r="H25" s="8"/>
      <c r="I25" s="8"/>
      <c r="J25" t="s">
        <v>79</v>
      </c>
    </row>
    <row r="26" spans="3:10" ht="15.45" thickBot="1" x14ac:dyDescent="0.4">
      <c r="C26" s="14" t="s">
        <v>123</v>
      </c>
      <c r="D26" s="33">
        <f>SUMIFS(Portfolio!$C:$C,Portfolio!$K:$K,$J26)</f>
        <v>0</v>
      </c>
      <c r="E26" s="38">
        <f>IF(D26=0,0,SUMIFS(Portfolio!$G:$G,Portfolio!$K:$K,$J26)/D26)</f>
        <v>0</v>
      </c>
      <c r="F26" s="39">
        <f>SUMIFS(Benchmark!$H:$H,Benchmark!$N:$N,$J26)</f>
        <v>0</v>
      </c>
      <c r="G26" s="30">
        <f>IF(F26=0,0,SUMIFS(Benchmark!$R:$R,Benchmark!$N:$N,$J26)/F26)</f>
        <v>0</v>
      </c>
      <c r="H26" s="8"/>
      <c r="I26" s="8"/>
      <c r="J26" t="s">
        <v>84</v>
      </c>
    </row>
    <row r="27" spans="3:10" ht="15.45" x14ac:dyDescent="0.4">
      <c r="C27" s="23" t="s">
        <v>6</v>
      </c>
      <c r="D27" s="34">
        <f>SUM(D16:D26)</f>
        <v>0</v>
      </c>
      <c r="E27" s="25">
        <f>SUMPRODUCT(E16:E26,D16:D26)</f>
        <v>0</v>
      </c>
      <c r="F27" s="34">
        <f>SUM(F16:F26)</f>
        <v>0.99999999999999989</v>
      </c>
      <c r="G27" s="25">
        <f>SUMPRODUCT(G16:G26,F16:F26)</f>
        <v>0</v>
      </c>
      <c r="H27" s="25">
        <f>SUM(H16:H26)</f>
        <v>0</v>
      </c>
      <c r="I27" s="25">
        <f>SUM(I16:I26)</f>
        <v>0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DA75BE-001C-492F-AD5C-74C22639FBB9}">
  <sheetPr codeName="Sheet6"/>
  <dimension ref="A1:F34"/>
  <sheetViews>
    <sheetView workbookViewId="0">
      <selection activeCell="B3" sqref="B3:B34"/>
    </sheetView>
  </sheetViews>
  <sheetFormatPr defaultRowHeight="12.45" x14ac:dyDescent="0.3"/>
  <cols>
    <col min="1" max="1" width="20.69140625" bestFit="1" customWidth="1"/>
    <col min="2" max="3" width="12.69140625" customWidth="1"/>
  </cols>
  <sheetData>
    <row r="1" spans="1:6" ht="52.75" x14ac:dyDescent="0.4">
      <c r="A1" s="49"/>
      <c r="B1" s="55" t="s">
        <v>113</v>
      </c>
      <c r="C1" s="55" t="s">
        <v>114</v>
      </c>
    </row>
    <row r="2" spans="1:6" x14ac:dyDescent="0.3">
      <c r="A2" s="48"/>
    </row>
    <row r="3" spans="1:6" x14ac:dyDescent="0.3">
      <c r="A3" t="s">
        <v>39</v>
      </c>
      <c r="B3" s="32">
        <v>-0.1928</v>
      </c>
      <c r="C3" s="32">
        <v>0.3856</v>
      </c>
    </row>
    <row r="4" spans="1:6" ht="14.6" x14ac:dyDescent="0.3">
      <c r="A4" t="s">
        <v>42</v>
      </c>
      <c r="B4" s="32">
        <v>-0.22120000000000004</v>
      </c>
      <c r="C4" s="32">
        <v>0.44240000000000007</v>
      </c>
      <c r="F4" s="59" t="s">
        <v>115</v>
      </c>
    </row>
    <row r="5" spans="1:6" ht="14.6" x14ac:dyDescent="0.3">
      <c r="A5" t="s">
        <v>43</v>
      </c>
      <c r="B5" s="32">
        <v>-0.24080000000000001</v>
      </c>
      <c r="C5" s="32">
        <v>0.48160000000000003</v>
      </c>
      <c r="F5" s="59" t="s">
        <v>116</v>
      </c>
    </row>
    <row r="6" spans="1:6" x14ac:dyDescent="0.3">
      <c r="A6" t="s">
        <v>44</v>
      </c>
      <c r="B6" s="32">
        <v>-0.26979999999999998</v>
      </c>
      <c r="C6" s="32">
        <v>0.53959999999999997</v>
      </c>
    </row>
    <row r="7" spans="1:6" x14ac:dyDescent="0.3">
      <c r="A7" t="s">
        <v>45</v>
      </c>
      <c r="B7" s="32">
        <v>-0.2918</v>
      </c>
      <c r="C7" s="32">
        <v>0.58360000000000001</v>
      </c>
    </row>
    <row r="8" spans="1:6" x14ac:dyDescent="0.3">
      <c r="A8" t="s">
        <v>46</v>
      </c>
      <c r="B8" s="32">
        <v>-0.35299999999999998</v>
      </c>
      <c r="C8" s="32">
        <v>0.70599999999999996</v>
      </c>
    </row>
    <row r="9" spans="1:6" x14ac:dyDescent="0.3">
      <c r="A9" t="s">
        <v>47</v>
      </c>
      <c r="B9" s="32">
        <v>-0.38640000000000002</v>
      </c>
      <c r="C9" s="32">
        <v>0.77280000000000004</v>
      </c>
    </row>
    <row r="10" spans="1:6" x14ac:dyDescent="0.3">
      <c r="A10" t="s">
        <v>48</v>
      </c>
      <c r="B10" s="32">
        <v>-0.40220000000000006</v>
      </c>
      <c r="C10" s="32">
        <v>0.80440000000000011</v>
      </c>
    </row>
    <row r="11" spans="1:6" x14ac:dyDescent="0.3">
      <c r="A11" t="s">
        <v>49</v>
      </c>
      <c r="B11" s="32">
        <v>-0.43200000000000005</v>
      </c>
      <c r="C11" s="32">
        <v>0.8640000000000001</v>
      </c>
    </row>
    <row r="12" spans="1:6" x14ac:dyDescent="0.3">
      <c r="A12" t="s">
        <v>50</v>
      </c>
      <c r="B12" s="32">
        <v>-0.46300000000000002</v>
      </c>
      <c r="C12" s="32">
        <v>0.92600000000000005</v>
      </c>
    </row>
    <row r="13" spans="1:6" x14ac:dyDescent="0.3">
      <c r="A13" t="s">
        <v>51</v>
      </c>
      <c r="B13" s="32">
        <v>-0.48520000000000008</v>
      </c>
      <c r="C13" s="32">
        <v>0.97040000000000015</v>
      </c>
    </row>
    <row r="14" spans="1:6" x14ac:dyDescent="0.3">
      <c r="A14" t="s">
        <v>52</v>
      </c>
      <c r="B14" s="32">
        <v>-0.50260000000000005</v>
      </c>
      <c r="C14" s="32">
        <v>1.0052000000000001</v>
      </c>
    </row>
    <row r="15" spans="1:6" x14ac:dyDescent="0.3">
      <c r="A15" t="s">
        <v>53</v>
      </c>
      <c r="B15" s="32">
        <v>-0.51480000000000004</v>
      </c>
      <c r="C15" s="32">
        <v>1.0296000000000001</v>
      </c>
    </row>
    <row r="16" spans="1:6" x14ac:dyDescent="0.3">
      <c r="A16" t="s">
        <v>54</v>
      </c>
      <c r="B16" s="32">
        <v>0.53460000000000008</v>
      </c>
      <c r="C16" s="32">
        <v>1.0692000000000002</v>
      </c>
    </row>
    <row r="17" spans="1:3" x14ac:dyDescent="0.3">
      <c r="A17" t="s">
        <v>55</v>
      </c>
      <c r="B17" s="32">
        <v>0.2082</v>
      </c>
      <c r="C17" s="32">
        <v>-0.2082</v>
      </c>
    </row>
    <row r="18" spans="1:3" x14ac:dyDescent="0.3">
      <c r="A18" t="s">
        <v>59</v>
      </c>
      <c r="B18" s="32">
        <v>0.28140000000000004</v>
      </c>
      <c r="C18" s="32">
        <v>-0.35175000000000001</v>
      </c>
    </row>
    <row r="19" spans="1:3" x14ac:dyDescent="0.3">
      <c r="A19" t="s">
        <v>62</v>
      </c>
      <c r="B19" s="32">
        <v>0.30940000000000001</v>
      </c>
      <c r="C19" s="32">
        <v>-0.38674999999999998</v>
      </c>
    </row>
    <row r="20" spans="1:3" x14ac:dyDescent="0.3">
      <c r="A20" t="s">
        <v>63</v>
      </c>
      <c r="B20" s="32">
        <v>0.31160000000000004</v>
      </c>
      <c r="C20" s="32">
        <v>-0.38950000000000001</v>
      </c>
    </row>
    <row r="21" spans="1:3" x14ac:dyDescent="0.3">
      <c r="A21" t="s">
        <v>66</v>
      </c>
      <c r="B21" s="32">
        <v>0.317</v>
      </c>
      <c r="C21" s="32">
        <v>-0.39624999999999999</v>
      </c>
    </row>
    <row r="22" spans="1:3" x14ac:dyDescent="0.3">
      <c r="A22" t="s">
        <v>68</v>
      </c>
      <c r="B22" s="32">
        <v>0.32360000000000005</v>
      </c>
      <c r="C22" s="32">
        <v>-0.40450000000000003</v>
      </c>
    </row>
    <row r="23" spans="1:3" x14ac:dyDescent="0.3">
      <c r="A23" t="s">
        <v>69</v>
      </c>
      <c r="B23" s="32">
        <v>0.3352</v>
      </c>
      <c r="C23" s="32">
        <v>-0.41899999999999998</v>
      </c>
    </row>
    <row r="24" spans="1:3" x14ac:dyDescent="0.3">
      <c r="A24" t="s">
        <v>70</v>
      </c>
      <c r="B24" s="32">
        <v>0.33780000000000004</v>
      </c>
      <c r="C24" s="32">
        <v>-0.42225000000000001</v>
      </c>
    </row>
    <row r="25" spans="1:3" x14ac:dyDescent="0.3">
      <c r="A25" t="s">
        <v>71</v>
      </c>
      <c r="B25" s="32">
        <v>0.35780000000000001</v>
      </c>
      <c r="C25" s="32">
        <v>-0.44724999999999998</v>
      </c>
    </row>
    <row r="26" spans="1:3" x14ac:dyDescent="0.3">
      <c r="A26" t="s">
        <v>73</v>
      </c>
      <c r="B26" s="32">
        <v>0.376</v>
      </c>
      <c r="C26" s="32">
        <v>-0.47</v>
      </c>
    </row>
    <row r="27" spans="1:3" x14ac:dyDescent="0.3">
      <c r="A27" t="s">
        <v>75</v>
      </c>
      <c r="B27" s="32">
        <v>0.40820000000000001</v>
      </c>
      <c r="C27" s="32">
        <v>-0.81640000000000001</v>
      </c>
    </row>
    <row r="28" spans="1:3" x14ac:dyDescent="0.3">
      <c r="A28" t="s">
        <v>77</v>
      </c>
      <c r="B28" s="32">
        <v>0.39420000000000005</v>
      </c>
      <c r="C28" s="32">
        <v>-0.7884000000000001</v>
      </c>
    </row>
    <row r="29" spans="1:3" x14ac:dyDescent="0.3">
      <c r="A29" t="s">
        <v>78</v>
      </c>
      <c r="B29" s="32">
        <v>0.45320000000000005</v>
      </c>
      <c r="C29" s="32">
        <v>-0.90640000000000009</v>
      </c>
    </row>
    <row r="30" spans="1:3" x14ac:dyDescent="0.3">
      <c r="A30" t="s">
        <v>80</v>
      </c>
      <c r="B30" s="32">
        <v>0.51239999999999997</v>
      </c>
      <c r="C30" s="32">
        <v>-1.0247999999999999</v>
      </c>
    </row>
    <row r="31" spans="1:3" x14ac:dyDescent="0.3">
      <c r="B31" s="32"/>
      <c r="C31" s="32"/>
    </row>
    <row r="32" spans="1:3" ht="17.600000000000001" x14ac:dyDescent="0.4">
      <c r="A32" s="49" t="s">
        <v>81</v>
      </c>
      <c r="B32" s="32"/>
      <c r="C32" s="32"/>
    </row>
    <row r="33" spans="1:3" x14ac:dyDescent="0.3">
      <c r="A33" t="s">
        <v>82</v>
      </c>
      <c r="B33" s="32">
        <v>1.2</v>
      </c>
      <c r="C33" s="32">
        <v>-2</v>
      </c>
    </row>
    <row r="34" spans="1:3" x14ac:dyDescent="0.3">
      <c r="A34" t="s">
        <v>85</v>
      </c>
      <c r="B34" s="32">
        <v>-0.5</v>
      </c>
      <c r="C34" s="32">
        <v>1.3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A68072A6084CD4F91BAAE6C620D7BEF" ma:contentTypeVersion="6" ma:contentTypeDescription="Create a new document." ma:contentTypeScope="" ma:versionID="d643f4c24d09188bd26061b55196d7a1">
  <xsd:schema xmlns:xsd="http://www.w3.org/2001/XMLSchema" xmlns:xs="http://www.w3.org/2001/XMLSchema" xmlns:p="http://schemas.microsoft.com/office/2006/metadata/properties" xmlns:ns2="909f915b-ce8e-490f-99f5-b5325376a70b" xmlns:ns3="6a327845-9b51-4b97-9d66-4acf00a098f1" targetNamespace="http://schemas.microsoft.com/office/2006/metadata/properties" ma:root="true" ma:fieldsID="a88ba98809e1f1563bcfa89b61229402" ns2:_="" ns3:_="">
    <xsd:import namespace="909f915b-ce8e-490f-99f5-b5325376a70b"/>
    <xsd:import namespace="6a327845-9b51-4b97-9d66-4acf00a098f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09f915b-ce8e-490f-99f5-b5325376a70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a327845-9b51-4b97-9d66-4acf00a098f1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E7D728F-A250-4D74-849F-89C80397A2C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09f915b-ce8e-490f-99f5-b5325376a70b"/>
    <ds:schemaRef ds:uri="6a327845-9b51-4b97-9d66-4acf00a098f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0CFF2F3-E74E-4524-B74F-6F7E90C7359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5F3ED67-243E-4EC1-AC37-D0CD71309940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Attribution</vt:lpstr>
      <vt:lpstr>Off-benchmark bets</vt:lpstr>
      <vt:lpstr>Attribution SOLN</vt:lpstr>
      <vt:lpstr>Off-bmark SOLN</vt:lpstr>
      <vt:lpstr>Benchmark</vt:lpstr>
      <vt:lpstr>Portfolio</vt:lpstr>
      <vt:lpstr>Attributing your portfolio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Nash, Charlie</dc:creator>
  <cp:keywords/>
  <dc:description/>
  <cp:lastModifiedBy>Alan Cubbon</cp:lastModifiedBy>
  <cp:revision/>
  <dcterms:created xsi:type="dcterms:W3CDTF">2023-04-21T10:11:47Z</dcterms:created>
  <dcterms:modified xsi:type="dcterms:W3CDTF">2024-11-15T13:40:24Z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0x0101000A68072A6084CD4F91BAAE6C620D7BEF</vt:lpwstr>
  </property>
</Properties>
</file>